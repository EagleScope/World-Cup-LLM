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Matches" sheetId="2" state="visible" r:id="rId4"/>
    <sheet name="Read Me &amp; Caveats" sheetId="3" state="visible" r:id="rId5"/>
  </sheets>
  <definedNames>
    <definedName function="false" hidden="true" localSheetId="1" name="_xlnm._FilterDatabase" vbProcedure="false">'All Matches'!$A$1:$K$321</definedName>
    <definedName function="false" hidden="true" localSheetId="0" name="_xlnm._FilterDatabase" vbProcedure="false">Summary!$A$1:$K$33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<sst xmlns="http://schemas.openxmlformats.org/spreadsheetml/2006/main" count="2455" uniqueCount="352">
  <si>
    <t xml:space="preserve">Team</t>
  </si>
  <si>
    <t xml:space="preserve">Bracket</t>
  </si>
  <si>
    <t xml:space="preserve">Group</t>
  </si>
  <si>
    <t xml:space="preserve">W</t>
  </si>
  <si>
    <t xml:space="preserve">D</t>
  </si>
  <si>
    <t xml:space="preserve">L</t>
  </si>
  <si>
    <t xml:space="preserve">Pts</t>
  </si>
  <si>
    <t xml:space="preserve">GF</t>
  </si>
  <si>
    <t xml:space="preserve">GA</t>
  </si>
  <si>
    <t xml:space="preserve">GD</t>
  </si>
  <si>
    <t xml:space="preserve">Form (recent-&gt;older)</t>
  </si>
  <si>
    <t xml:space="preserve">Germany</t>
  </si>
  <si>
    <t xml:space="preserve">Left</t>
  </si>
  <si>
    <t xml:space="preserve">E</t>
  </si>
  <si>
    <t xml:space="preserve">LWWWWWWWWW</t>
  </si>
  <si>
    <t xml:space="preserve">Paraguay</t>
  </si>
  <si>
    <t xml:space="preserve">DWLWLWWLLD</t>
  </si>
  <si>
    <t xml:space="preserve">France</t>
  </si>
  <si>
    <t xml:space="preserve">I</t>
  </si>
  <si>
    <t xml:space="preserve">WWWWLWWWWD</t>
  </si>
  <si>
    <t xml:space="preserve">Sweden</t>
  </si>
  <si>
    <t xml:space="preserve">F</t>
  </si>
  <si>
    <t xml:space="preserve">DLWDLWWDLL</t>
  </si>
  <si>
    <t xml:space="preserve">South Africa</t>
  </si>
  <si>
    <t xml:space="preserve">A</t>
  </si>
  <si>
    <t xml:space="preserve">WDLDDLDLWL</t>
  </si>
  <si>
    <t xml:space="preserve">Canada</t>
  </si>
  <si>
    <t xml:space="preserve">B</t>
  </si>
  <si>
    <t xml:space="preserve">LWDDWDDWWD</t>
  </si>
  <si>
    <t xml:space="preserve">Netherlands</t>
  </si>
  <si>
    <t xml:space="preserve">WWDWLDWWDW</t>
  </si>
  <si>
    <t xml:space="preserve">Morocco</t>
  </si>
  <si>
    <t xml:space="preserve">C</t>
  </si>
  <si>
    <t xml:space="preserve">WWDDWWDLWW</t>
  </si>
  <si>
    <t xml:space="preserve">Portugal</t>
  </si>
  <si>
    <t xml:space="preserve">K</t>
  </si>
  <si>
    <t xml:space="preserve">DWDWDWLDWW</t>
  </si>
  <si>
    <t xml:space="preserve">Croatia</t>
  </si>
  <si>
    <t xml:space="preserve">WWLWLLWWWW</t>
  </si>
  <si>
    <t xml:space="preserve">Spain</t>
  </si>
  <si>
    <t xml:space="preserve">H</t>
  </si>
  <si>
    <t xml:space="preserve">WWDWDDWDWW</t>
  </si>
  <si>
    <t xml:space="preserve">Austria</t>
  </si>
  <si>
    <t xml:space="preserve">J</t>
  </si>
  <si>
    <t xml:space="preserve">DLWWWWDWWW</t>
  </si>
  <si>
    <t xml:space="preserve">United States</t>
  </si>
  <si>
    <t xml:space="preserve">LWWLWLLWWW</t>
  </si>
  <si>
    <t xml:space="preserve">Bosnia &amp; Herzegovina</t>
  </si>
  <si>
    <t xml:space="preserve">WLDDDWWDWW</t>
  </si>
  <si>
    <t xml:space="preserve">Belgium</t>
  </si>
  <si>
    <t xml:space="preserve">G</t>
  </si>
  <si>
    <t xml:space="preserve">WDDWWDWWDW</t>
  </si>
  <si>
    <t xml:space="preserve">Senegal</t>
  </si>
  <si>
    <t xml:space="preserve">WLLDLWWWWW</t>
  </si>
  <si>
    <t xml:space="preserve">Brazil</t>
  </si>
  <si>
    <t xml:space="preserve">Right</t>
  </si>
  <si>
    <t xml:space="preserve">WWDWWWLDWL</t>
  </si>
  <si>
    <t xml:space="preserve">Japan</t>
  </si>
  <si>
    <t xml:space="preserve">DWDWWWWWWD</t>
  </si>
  <si>
    <t xml:space="preserve">Ivory Coast</t>
  </si>
  <si>
    <t xml:space="preserve">WLWWWWLWWD</t>
  </si>
  <si>
    <t xml:space="preserve">Norway</t>
  </si>
  <si>
    <t xml:space="preserve">LWWDWWWWWW</t>
  </si>
  <si>
    <t xml:space="preserve">Mexico</t>
  </si>
  <si>
    <t xml:space="preserve">WWWWWDDWWD</t>
  </si>
  <si>
    <t xml:space="preserve">Ecuador</t>
  </si>
  <si>
    <t xml:space="preserve">WDLDDWDDDW</t>
  </si>
  <si>
    <t xml:space="preserve">England</t>
  </si>
  <si>
    <t xml:space="preserve">WDWWWLDWWW</t>
  </si>
  <si>
    <t xml:space="preserve">DR Congo</t>
  </si>
  <si>
    <t xml:space="preserve">WLDLDWWLWD</t>
  </si>
  <si>
    <t xml:space="preserve">Argentina</t>
  </si>
  <si>
    <t xml:space="preserve">WWWWWWWWWW</t>
  </si>
  <si>
    <t xml:space="preserve">Cape Verde</t>
  </si>
  <si>
    <t xml:space="preserve">DDDWWDLDDW</t>
  </si>
  <si>
    <t xml:space="preserve">Australia</t>
  </si>
  <si>
    <t xml:space="preserve">DLWDLWWLLL</t>
  </si>
  <si>
    <t xml:space="preserve">Egypt</t>
  </si>
  <si>
    <t xml:space="preserve">DWDLWDLWWD</t>
  </si>
  <si>
    <t xml:space="preserve">Switzerland</t>
  </si>
  <si>
    <t xml:space="preserve">WWDDWDLDWD</t>
  </si>
  <si>
    <t xml:space="preserve">Algeria</t>
  </si>
  <si>
    <t xml:space="preserve">DWLWWDWLWW</t>
  </si>
  <si>
    <t xml:space="preserve">Colombia</t>
  </si>
  <si>
    <t xml:space="preserve">DWWWWLLWWD</t>
  </si>
  <si>
    <t xml:space="preserve">Ghana</t>
  </si>
  <si>
    <t xml:space="preserve">LDWDLLLWWW</t>
  </si>
  <si>
    <t xml:space="preserve">#</t>
  </si>
  <si>
    <t xml:space="preserve">Date</t>
  </si>
  <si>
    <t xml:space="preserve">Competition</t>
  </si>
  <si>
    <t xml:space="preserve">Venue</t>
  </si>
  <si>
    <t xml:space="preserve">Opponent</t>
  </si>
  <si>
    <t xml:space="preserve">Score</t>
  </si>
  <si>
    <t xml:space="preserve">Result</t>
  </si>
  <si>
    <t xml:space="preserve">Notes</t>
  </si>
  <si>
    <t xml:space="preserve">2026-06-25</t>
  </si>
  <si>
    <t xml:space="preserve">World Cup 2026 Group</t>
  </si>
  <si>
    <t xml:space="preserve">N</t>
  </si>
  <si>
    <t xml:space="preserve">1-2</t>
  </si>
  <si>
    <t xml:space="preserve">2026-06-20</t>
  </si>
  <si>
    <t xml:space="preserve">2-1</t>
  </si>
  <si>
    <t xml:space="preserve">2026-06-14</t>
  </si>
  <si>
    <t xml:space="preserve">Curacao</t>
  </si>
  <si>
    <t xml:space="preserve">7-1</t>
  </si>
  <si>
    <t xml:space="preserve">2026-06-06</t>
  </si>
  <si>
    <t xml:space="preserve">Friendly</t>
  </si>
  <si>
    <t xml:space="preserve">2026-05-31</t>
  </si>
  <si>
    <t xml:space="preserve">Finland</t>
  </si>
  <si>
    <t xml:space="preserve">4-0</t>
  </si>
  <si>
    <t xml:space="preserve">2026-03-30</t>
  </si>
  <si>
    <t xml:space="preserve">2026-03-27</t>
  </si>
  <si>
    <t xml:space="preserve">4-3</t>
  </si>
  <si>
    <t xml:space="preserve">2025-11-17</t>
  </si>
  <si>
    <t xml:space="preserve">WC Qualifier (UEFA)</t>
  </si>
  <si>
    <t xml:space="preserve">Slovakia</t>
  </si>
  <si>
    <t xml:space="preserve">6-0</t>
  </si>
  <si>
    <t xml:space="preserve">2025-11-14</t>
  </si>
  <si>
    <t xml:space="preserve">Luxembourg</t>
  </si>
  <si>
    <t xml:space="preserve">2-0</t>
  </si>
  <si>
    <t xml:space="preserve">2025-10-13</t>
  </si>
  <si>
    <t xml:space="preserve">Northern Ireland</t>
  </si>
  <si>
    <t xml:space="preserve">1-0</t>
  </si>
  <si>
    <t xml:space="preserve">0-0</t>
  </si>
  <si>
    <t xml:space="preserve">2026-06-19</t>
  </si>
  <si>
    <t xml:space="preserve">Turkiye</t>
  </si>
  <si>
    <t xml:space="preserve">2026-06-12</t>
  </si>
  <si>
    <t xml:space="preserve">1-4</t>
  </si>
  <si>
    <t xml:space="preserve">2026-06-05</t>
  </si>
  <si>
    <t xml:space="preserve">Nicaragua</t>
  </si>
  <si>
    <t xml:space="preserve">2026-03-31</t>
  </si>
  <si>
    <t xml:space="preserve">Greece</t>
  </si>
  <si>
    <t xml:space="preserve">2025-11-18</t>
  </si>
  <si>
    <t xml:space="preserve">2025-11-15</t>
  </si>
  <si>
    <t xml:space="preserve">2025-10-14</t>
  </si>
  <si>
    <t xml:space="preserve">South Korea</t>
  </si>
  <si>
    <t xml:space="preserve">0-2</t>
  </si>
  <si>
    <t xml:space="preserve">2025-10-10</t>
  </si>
  <si>
    <t xml:space="preserve">2-2</t>
  </si>
  <si>
    <t xml:space="preserve">2026-06-26</t>
  </si>
  <si>
    <t xml:space="preserve">4-1</t>
  </si>
  <si>
    <t xml:space="preserve">2026-06-22</t>
  </si>
  <si>
    <t xml:space="preserve">Iraq</t>
  </si>
  <si>
    <t xml:space="preserve">3-0</t>
  </si>
  <si>
    <t xml:space="preserve">2026-06-16</t>
  </si>
  <si>
    <t xml:space="preserve">3-1</t>
  </si>
  <si>
    <t xml:space="preserve">2026-06-08</t>
  </si>
  <si>
    <t xml:space="preserve">2026-06-04</t>
  </si>
  <si>
    <t xml:space="preserve">2026-03-29</t>
  </si>
  <si>
    <t xml:space="preserve">2026-03-26</t>
  </si>
  <si>
    <t xml:space="preserve">CORRECTED: France won (was drafted as a loss)</t>
  </si>
  <si>
    <t xml:space="preserve">2025-11-16</t>
  </si>
  <si>
    <t xml:space="preserve">Azerbaijan</t>
  </si>
  <si>
    <t xml:space="preserve">2025-11-13</t>
  </si>
  <si>
    <t xml:space="preserve">Ukraine</t>
  </si>
  <si>
    <t xml:space="preserve">Iceland</t>
  </si>
  <si>
    <t xml:space="preserve">1-1</t>
  </si>
  <si>
    <t xml:space="preserve">1-5</t>
  </si>
  <si>
    <t xml:space="preserve">Tunisia</t>
  </si>
  <si>
    <t xml:space="preserve">5-1</t>
  </si>
  <si>
    <t xml:space="preserve">2026-06-01</t>
  </si>
  <si>
    <t xml:space="preserve">1-3</t>
  </si>
  <si>
    <t xml:space="preserve">WC Qual Playoff Final</t>
  </si>
  <si>
    <t xml:space="preserve">Poland</t>
  </si>
  <si>
    <t xml:space="preserve">3-2</t>
  </si>
  <si>
    <t xml:space="preserve">WC Qual Playoff SF</t>
  </si>
  <si>
    <t xml:space="preserve">Ukraine nominal host (played in Spain)</t>
  </si>
  <si>
    <t xml:space="preserve">Slovenia</t>
  </si>
  <si>
    <t xml:space="preserve">Kosovo</t>
  </si>
  <si>
    <t xml:space="preserve">0-1</t>
  </si>
  <si>
    <t xml:space="preserve">CORRECTED: Sweden lost at home (was drafted as a win)</t>
  </si>
  <si>
    <t xml:space="preserve">2026-06-24</t>
  </si>
  <si>
    <t xml:space="preserve">2026-06-18</t>
  </si>
  <si>
    <t xml:space="preserve">Czechia</t>
  </si>
  <si>
    <t xml:space="preserve">2026-06-11</t>
  </si>
  <si>
    <t xml:space="preserve">Jamaica</t>
  </si>
  <si>
    <t xml:space="preserve">CORRECTED to 1-1 (early reports said 0-1)</t>
  </si>
  <si>
    <t xml:space="preserve">2026-05-29</t>
  </si>
  <si>
    <t xml:space="preserve">Panama</t>
  </si>
  <si>
    <t xml:space="preserve">2026-01-04</t>
  </si>
  <si>
    <t xml:space="preserve">AFCON 2025 R16</t>
  </si>
  <si>
    <t xml:space="preserve">Cameroon</t>
  </si>
  <si>
    <t xml:space="preserve">2025-12-29</t>
  </si>
  <si>
    <t xml:space="preserve">AFCON 2025 Group</t>
  </si>
  <si>
    <t xml:space="preserve">Zimbabwe</t>
  </si>
  <si>
    <t xml:space="preserve">2025-12-26</t>
  </si>
  <si>
    <t xml:space="preserve">Qatar</t>
  </si>
  <si>
    <t xml:space="preserve">Republic of Ireland</t>
  </si>
  <si>
    <t xml:space="preserve">Uzbekistan</t>
  </si>
  <si>
    <t xml:space="preserve">2026-03-28</t>
  </si>
  <si>
    <t xml:space="preserve">2026-01-17</t>
  </si>
  <si>
    <t xml:space="preserve">Guatemala</t>
  </si>
  <si>
    <t xml:space="preserve">Venezuela</t>
  </si>
  <si>
    <t xml:space="preserve">2026-06-03</t>
  </si>
  <si>
    <t xml:space="preserve">Lithuania</t>
  </si>
  <si>
    <t xml:space="preserve">2025-10-12</t>
  </si>
  <si>
    <t xml:space="preserve">Haiti</t>
  </si>
  <si>
    <t xml:space="preserve">4-2</t>
  </si>
  <si>
    <t xml:space="preserve">Scotland</t>
  </si>
  <si>
    <t xml:space="preserve">2026-06-13</t>
  </si>
  <si>
    <t xml:space="preserve">2026-06-07</t>
  </si>
  <si>
    <t xml:space="preserve">2026-06-02</t>
  </si>
  <si>
    <t xml:space="preserve">Madagascar</t>
  </si>
  <si>
    <t xml:space="preserve">2026-01-18</t>
  </si>
  <si>
    <t xml:space="preserve">AFCON 2025 Final</t>
  </si>
  <si>
    <t xml:space="preserve">On-field 0-1 a.e.t.; CAF Appeal Board later awarded Morocco a 3-0 win (Morocco = 2025 AFCON champions); CAS appeal pending</t>
  </si>
  <si>
    <t xml:space="preserve">2026-01-14</t>
  </si>
  <si>
    <t xml:space="preserve">AFCON 2025 SF</t>
  </si>
  <si>
    <t xml:space="preserve">Nigeria</t>
  </si>
  <si>
    <t xml:space="preserve">Won 4-2 on penalties</t>
  </si>
  <si>
    <t xml:space="preserve">2026-01-09</t>
  </si>
  <si>
    <t xml:space="preserve">AFCON 2025 QF</t>
  </si>
  <si>
    <t xml:space="preserve">2026-06-27</t>
  </si>
  <si>
    <t xml:space="preserve">2026-06-23</t>
  </si>
  <si>
    <t xml:space="preserve">5-0</t>
  </si>
  <si>
    <t xml:space="preserve">2026-06-17</t>
  </si>
  <si>
    <t xml:space="preserve">Atlanta</t>
  </si>
  <si>
    <t xml:space="preserve">Armenia</t>
  </si>
  <si>
    <t xml:space="preserve">9-1</t>
  </si>
  <si>
    <t xml:space="preserve">CORRECTED: Portugal lost in Dublin (was drafted 2-0 W home)</t>
  </si>
  <si>
    <t xml:space="preserve">Hungary</t>
  </si>
  <si>
    <t xml:space="preserve">2025-10-11</t>
  </si>
  <si>
    <t xml:space="preserve">2025-09-09</t>
  </si>
  <si>
    <t xml:space="preserve">2-4</t>
  </si>
  <si>
    <t xml:space="preserve">CORRECTED: Croatia lost (was drafted 2-0 W)</t>
  </si>
  <si>
    <t xml:space="preserve">Montenegro</t>
  </si>
  <si>
    <t xml:space="preserve">Faroe Islands</t>
  </si>
  <si>
    <t xml:space="preserve">Gibraltar</t>
  </si>
  <si>
    <t xml:space="preserve">Uruguay</t>
  </si>
  <si>
    <t xml:space="preserve">2026-06-21</t>
  </si>
  <si>
    <t xml:space="preserve">Saudi Arabia</t>
  </si>
  <si>
    <t xml:space="preserve">2026-06-15</t>
  </si>
  <si>
    <t xml:space="preserve">Peru</t>
  </si>
  <si>
    <t xml:space="preserve">Puebla, Mexico</t>
  </si>
  <si>
    <t xml:space="preserve">Serbia</t>
  </si>
  <si>
    <t xml:space="preserve">Georgia</t>
  </si>
  <si>
    <t xml:space="preserve">Bulgaria</t>
  </si>
  <si>
    <t xml:space="preserve">3-3</t>
  </si>
  <si>
    <t xml:space="preserve">Jordan</t>
  </si>
  <si>
    <t xml:space="preserve">One source reported a 2-1 Bosnia win; recorded as 1-1 per other sources</t>
  </si>
  <si>
    <t xml:space="preserve">Cyprus</t>
  </si>
  <si>
    <t xml:space="preserve">Romania</t>
  </si>
  <si>
    <t xml:space="preserve">2025-10-09</t>
  </si>
  <si>
    <t xml:space="preserve">San Marino</t>
  </si>
  <si>
    <t xml:space="preserve">10-0</t>
  </si>
  <si>
    <t xml:space="preserve">2-3</t>
  </si>
  <si>
    <t xml:space="preserve">Host nation</t>
  </si>
  <si>
    <t xml:space="preserve">2-5</t>
  </si>
  <si>
    <t xml:space="preserve">North Macedonia</t>
  </si>
  <si>
    <t xml:space="preserve">WC Qual Playoff</t>
  </si>
  <si>
    <t xml:space="preserve">Italy</t>
  </si>
  <si>
    <t xml:space="preserve">Won 4-1 on penalties</t>
  </si>
  <si>
    <t xml:space="preserve">Wales</t>
  </si>
  <si>
    <t xml:space="preserve">Malta</t>
  </si>
  <si>
    <t xml:space="preserve">CORRECTED: Bosnia won 4-1 away (draft had Malta's perspective)</t>
  </si>
  <si>
    <t xml:space="preserve">New Zealand</t>
  </si>
  <si>
    <t xml:space="preserve">Iran</t>
  </si>
  <si>
    <t xml:space="preserve">CORRECTED: Belgium won 2-0 (was drafted as a loss)</t>
  </si>
  <si>
    <t xml:space="preserve">5-2</t>
  </si>
  <si>
    <t xml:space="preserve">Liechtenstein</t>
  </si>
  <si>
    <t xml:space="preserve">7-0</t>
  </si>
  <si>
    <t xml:space="preserve">Kazakhstan</t>
  </si>
  <si>
    <t xml:space="preserve">CORRECTED: Belgium won 4-2 away (was drafted as a loss)</t>
  </si>
  <si>
    <t xml:space="preserve">2026-06-09</t>
  </si>
  <si>
    <t xml:space="preserve">Gambia</t>
  </si>
  <si>
    <t xml:space="preserve">On-field 1-0 a.e.t. win; later overturned to 0-3 forfeit for Morocco by CAF; under CAS appeal</t>
  </si>
  <si>
    <t xml:space="preserve">Mali</t>
  </si>
  <si>
    <t xml:space="preserve">6-2</t>
  </si>
  <si>
    <t xml:space="preserve">Bolivia</t>
  </si>
  <si>
    <t xml:space="preserve">2026-01-10</t>
  </si>
  <si>
    <t xml:space="preserve">2026-01-06</t>
  </si>
  <si>
    <t xml:space="preserve">Burkina Faso</t>
  </si>
  <si>
    <t xml:space="preserve">2025-12-31</t>
  </si>
  <si>
    <t xml:space="preserve">Gabon</t>
  </si>
  <si>
    <t xml:space="preserve">2025-12-28</t>
  </si>
  <si>
    <t xml:space="preserve">Estonia</t>
  </si>
  <si>
    <t xml:space="preserve">Israel</t>
  </si>
  <si>
    <t xml:space="preserve">Moldova</t>
  </si>
  <si>
    <t xml:space="preserve">11-1</t>
  </si>
  <si>
    <t xml:space="preserve">2025-06-09</t>
  </si>
  <si>
    <t xml:space="preserve">2026-05-30</t>
  </si>
  <si>
    <t xml:space="preserve">CORRECTED to 1-1 (was 0-0)</t>
  </si>
  <si>
    <t xml:space="preserve">2026-01-25</t>
  </si>
  <si>
    <t xml:space="preserve">2026-01-22</t>
  </si>
  <si>
    <t xml:space="preserve">CORRECTED date (was 2025-11-18)</t>
  </si>
  <si>
    <t xml:space="preserve">CORRECTED date (was 2025-10-15)</t>
  </si>
  <si>
    <t xml:space="preserve">CONMEBOL WC Qualifier</t>
  </si>
  <si>
    <t xml:space="preserve">CORRECTED date (was 2025-09-10)</t>
  </si>
  <si>
    <t xml:space="preserve">2026-06-10</t>
  </si>
  <si>
    <t xml:space="preserve">Costa Rica</t>
  </si>
  <si>
    <t xml:space="preserve">Albania</t>
  </si>
  <si>
    <t xml:space="preserve">Latvia</t>
  </si>
  <si>
    <t xml:space="preserve">Chile</t>
  </si>
  <si>
    <t xml:space="preserve">Denmark</t>
  </si>
  <si>
    <t xml:space="preserve">Neutral venue in Belgium</t>
  </si>
  <si>
    <t xml:space="preserve">Inter-confed Playoff Final</t>
  </si>
  <si>
    <t xml:space="preserve">After extra time</t>
  </si>
  <si>
    <t xml:space="preserve">2026-03-25</t>
  </si>
  <si>
    <t xml:space="preserve">Bermuda</t>
  </si>
  <si>
    <t xml:space="preserve">2025-12-30</t>
  </si>
  <si>
    <t xml:space="preserve">Botswana</t>
  </si>
  <si>
    <t xml:space="preserve">2025-12-27</t>
  </si>
  <si>
    <t xml:space="preserve">Honduras</t>
  </si>
  <si>
    <t xml:space="preserve">Zambia</t>
  </si>
  <si>
    <t xml:space="preserve">Mauritania</t>
  </si>
  <si>
    <t xml:space="preserve">Angola</t>
  </si>
  <si>
    <t xml:space="preserve">Puerto Rico</t>
  </si>
  <si>
    <t xml:space="preserve">Friendly (FIFA Series)</t>
  </si>
  <si>
    <t xml:space="preserve">Lost on penalties; regulation draw</t>
  </si>
  <si>
    <t xml:space="preserve">CAF WC Qualifier</t>
  </si>
  <si>
    <t xml:space="preserve">Eswatini</t>
  </si>
  <si>
    <t xml:space="preserve">Clinched first-ever WC berth</t>
  </si>
  <si>
    <t xml:space="preserve">San Diego</t>
  </si>
  <si>
    <t xml:space="preserve">0-3</t>
  </si>
  <si>
    <t xml:space="preserve">2026-05-28</t>
  </si>
  <si>
    <t xml:space="preserve">Russia</t>
  </si>
  <si>
    <t xml:space="preserve">AFCON 2025 3rd Place</t>
  </si>
  <si>
    <t xml:space="preserve">Lost 2-4 on penalties</t>
  </si>
  <si>
    <t xml:space="preserve">2026-01-05</t>
  </si>
  <si>
    <t xml:space="preserve">Benin</t>
  </si>
  <si>
    <t xml:space="preserve">3-4</t>
  </si>
  <si>
    <t xml:space="preserve">Equatorial Guinea</t>
  </si>
  <si>
    <t xml:space="preserve">2026-05-22</t>
  </si>
  <si>
    <t xml:space="preserve">ADDED in verification (was missing)</t>
  </si>
  <si>
    <t xml:space="preserve">Comoros</t>
  </si>
  <si>
    <t xml:space="preserve">Clinched qualification</t>
  </si>
  <si>
    <t xml:space="preserve">2025-10-08</t>
  </si>
  <si>
    <t xml:space="preserve">Central African Rep.</t>
  </si>
  <si>
    <t xml:space="preserve">2025-09-08</t>
  </si>
  <si>
    <t xml:space="preserve">World Cup 2026 - Last 10 Matches per Knockout-Round Team (VERIFIED)</t>
  </si>
  <si>
    <t xml:space="preserve">Compiled and independently re-verified June 28, 2026. Teams are the 32 sides in the FOX 2026 knockout bracket.</t>
  </si>
  <si>
    <t xml:space="preserve">Verification: every one of the 320 matches was checked a second time against an independent source (Wikipedia team &amp; 2026 World Cup pages, FBref, FIFA.com, UEFA/CAF, ESPN, national federations).</t>
  </si>
  <si>
    <t xml:space="preserve">Corrections applied in this pass:</t>
  </si>
  <si>
    <t xml:space="preserve">RESULTS THAT CHANGED (W/D/L):</t>
  </si>
  <si>
    <t xml:space="preserve">  - France 2-1 Brazil (Mar 26) - France actually WON (had been recorded as a loss).</t>
  </si>
  <si>
    <t xml:space="preserve">  - Belgium 2-0 Croatia (Jun 2) - Belgium WON; Croatia's row corrected to a 0-2 loss.</t>
  </si>
  <si>
    <t xml:space="preserve">  - Belgium 4-2 Wales (Oct 13) - Belgium WON away (had been a loss).</t>
  </si>
  <si>
    <t xml:space="preserve">  - Bosnia &amp; Herzegovina 4-1 Malta (Oct 12) - Bosnia WON (score had been from Malta's side).</t>
  </si>
  <si>
    <t xml:space="preserve">  - Sweden 0-1 Kosovo (Oct 13) - Sweden LOST at home (had been a win).</t>
  </si>
  <si>
    <t xml:space="preserve">  - Portugal 0-2 Republic of Ireland (Nov 13) - Portugal LOST in Dublin (had been a home win).</t>
  </si>
  <si>
    <t xml:space="preserve">  - South Africa 1-1 Jamaica (Jun 6) - corrected to a draw.</t>
  </si>
  <si>
    <t xml:space="preserve">  - Mexico 1-1 Belgium (Mar 31) - corrected from 0-0.</t>
  </si>
  <si>
    <t xml:space="preserve">DATES: Sweden-Japan -&gt; Jun 26; Belgium-New Zealand -&gt; Jun 26; Austria-Algeria -&gt; Jun 27; Mexico-Uruguay -&gt; Nov 15 2025; Ecuador-Mexico -&gt; Oct 14; Ecuador-Argentina -&gt; Sep 9.</t>
  </si>
  <si>
    <t xml:space="preserve">EGYPT: AFCON third-place shootout vs Nigeria corrected to lost 2-4.</t>
  </si>
  <si>
    <t xml:space="preserve">GHANA: added two missing Mar 2026 friendlies (1-2 vs Germany, 1-5 vs Austria); dropped the two oldest qualifiers to keep a strict last-10.</t>
  </si>
  <si>
    <t xml:space="preserve">VENUES: many Home/Away/Neutral tags were corrected (Germany, France, Sweden, Canada, Morocco, Croatia, Spain, Austria, USA, Bosnia, Belgium, Senegal, Brazil, DR Congo, Switzerland). Venue remains the softest field.</t>
  </si>
  <si>
    <t xml:space="preserve">Remaining conflicts / judgement calls (see Notes on those rows):</t>
  </si>
  <si>
    <t xml:space="preserve">  - Morocco vs Senegal, 2025 AFCON Final (Jan 18): Senegal won 1-0 on the pitch (a.e.t.); CAF later awarded Morocco a 3-0 forfeit win and the title; a CAS appeal is pending. Both teams' rows show the on-field result with a note.</t>
  </si>
  <si>
    <t xml:space="preserve">  - Austria vs Bosnia &amp; Herzegovina (Nov 18 qualifier): one source reported a 2-1 Bosnia win, another a 1-1 draw. Recorded as 1-1 and flagged.</t>
  </si>
  <si>
    <t xml:space="preserve">How to read this workbook:</t>
  </si>
  <si>
    <t xml:space="preserve">  - Summary tab: one row per team - W/D/L over the last 10, points, GF/GA, goal difference, and a form string (most recent first).</t>
  </si>
  <si>
    <t xml:space="preserve">  - All Matches tab: every match, newest first within each team. Score and GF/GA are from that team's perspective. Venue: H=home, A=away, N=neutral. Filter on the Team column.</t>
  </si>
  <si>
    <t xml:space="preserve">  - Penalty-shootout games show the regulation score with the outcome in Notes. Round-of-32 knockout games (late June/July) are not yet completed and are excluded.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</si>
</sst>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6" min="4" style="0" width="5"/>
    <col collapsed="false" customWidth="true" hidden="false" outlineLevel="0" max="9" min="7" style="0" width="6"/>
    <col collapsed="false" customWidth="true" hidden="false" outlineLevel="0" max="10" min="10" style="0" width="7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f aca="false">COUNTIFS('All Matches'!$A:$A,$A2,'All Matches'!$J:$J,"W")</f>
        <v>9</v>
      </c>
      <c r="E2" s="3" t="n">
        <f aca="false">COUNTIFS('All Matches'!$A:$A,$A2,'All Matches'!$J:$J,"D")</f>
        <v>0</v>
      </c>
      <c r="F2" s="3" t="n">
        <f aca="false">COUNTIFS('All Matches'!$A:$A,$A2,'All Matches'!$J:$J,"L")</f>
        <v>1</v>
      </c>
      <c r="G2" s="3" t="n">
        <f aca="false">D2*3+E2</f>
        <v>27</v>
      </c>
      <c r="H2" s="3" t="n">
        <f aca="false">SUMIFS('All Matches'!$H:$H,'All Matches'!$A:$A,$A2)</f>
        <v>31</v>
      </c>
      <c r="I2" s="3" t="n">
        <f aca="false">SUMIFS('All Matches'!$I:$I,'All Matches'!$A:$A,$A2)</f>
        <v>9</v>
      </c>
      <c r="J2" s="3" t="n">
        <f aca="false">H2-I2</f>
        <v>22</v>
      </c>
      <c r="K2" s="4" t="s">
        <v>14</v>
      </c>
    </row>
    <row r="3" customFormat="false" ht="15" hidden="false" customHeight="false" outlineLevel="0" collapsed="false">
      <c r="A3" s="2" t="s">
        <v>15</v>
      </c>
      <c r="B3" s="3" t="s">
        <v>12</v>
      </c>
      <c r="C3" s="3"/>
      <c r="D3" s="3" t="n">
        <f aca="false">COUNTIFS('All Matches'!$A:$A,$A3,'All Matches'!$J:$J,"W")</f>
        <v>4</v>
      </c>
      <c r="E3" s="3" t="n">
        <f aca="false">COUNTIFS('All Matches'!$A:$A,$A3,'All Matches'!$J:$J,"D")</f>
        <v>2</v>
      </c>
      <c r="F3" s="3" t="n">
        <f aca="false">COUNTIFS('All Matches'!$A:$A,$A3,'All Matches'!$J:$J,"L")</f>
        <v>4</v>
      </c>
      <c r="G3" s="3" t="n">
        <f aca="false">D3*3+E3</f>
        <v>14</v>
      </c>
      <c r="H3" s="3" t="n">
        <f aca="false">SUMIFS('All Matches'!$H:$H,'All Matches'!$A:$A,$A3)</f>
        <v>13</v>
      </c>
      <c r="I3" s="3" t="n">
        <f aca="false">SUMIFS('All Matches'!$I:$I,'All Matches'!$A:$A,$A3)</f>
        <v>13</v>
      </c>
      <c r="J3" s="3" t="n">
        <f aca="false">H3-I3</f>
        <v>0</v>
      </c>
      <c r="K3" s="4" t="s">
        <v>16</v>
      </c>
    </row>
    <row r="4" customFormat="false" ht="15" hidden="false" customHeight="false" outlineLevel="0" collapsed="false">
      <c r="A4" s="2" t="s">
        <v>17</v>
      </c>
      <c r="B4" s="3" t="s">
        <v>12</v>
      </c>
      <c r="C4" s="3" t="s">
        <v>18</v>
      </c>
      <c r="D4" s="3" t="n">
        <f aca="false">COUNTIFS('All Matches'!$A:$A,$A4,'All Matches'!$J:$J,"W")</f>
        <v>8</v>
      </c>
      <c r="E4" s="3" t="n">
        <f aca="false">COUNTIFS('All Matches'!$A:$A,$A4,'All Matches'!$J:$J,"D")</f>
        <v>1</v>
      </c>
      <c r="F4" s="3" t="n">
        <f aca="false">COUNTIFS('All Matches'!$A:$A,$A4,'All Matches'!$J:$J,"L")</f>
        <v>1</v>
      </c>
      <c r="G4" s="3" t="n">
        <f aca="false">D4*3+E4</f>
        <v>25</v>
      </c>
      <c r="H4" s="3" t="n">
        <f aca="false">SUMIFS('All Matches'!$H:$H,'All Matches'!$A:$A,$A4)</f>
        <v>28</v>
      </c>
      <c r="I4" s="3" t="n">
        <f aca="false">SUMIFS('All Matches'!$I:$I,'All Matches'!$A:$A,$A4)</f>
        <v>10</v>
      </c>
      <c r="J4" s="3" t="n">
        <f aca="false">H4-I4</f>
        <v>18</v>
      </c>
      <c r="K4" s="4" t="s">
        <v>19</v>
      </c>
    </row>
    <row r="5" customFormat="false" ht="15" hidden="false" customHeight="false" outlineLevel="0" collapsed="false">
      <c r="A5" s="2" t="s">
        <v>20</v>
      </c>
      <c r="B5" s="3" t="s">
        <v>12</v>
      </c>
      <c r="C5" s="3" t="s">
        <v>21</v>
      </c>
      <c r="D5" s="3" t="n">
        <f aca="false">COUNTIFS('All Matches'!$A:$A,$A5,'All Matches'!$J:$J,"W")</f>
        <v>3</v>
      </c>
      <c r="E5" s="3" t="n">
        <f aca="false">COUNTIFS('All Matches'!$A:$A,$A5,'All Matches'!$J:$J,"D")</f>
        <v>3</v>
      </c>
      <c r="F5" s="3" t="n">
        <f aca="false">COUNTIFS('All Matches'!$A:$A,$A5,'All Matches'!$J:$J,"L")</f>
        <v>4</v>
      </c>
      <c r="G5" s="3" t="n">
        <f aca="false">D5*3+E5</f>
        <v>12</v>
      </c>
      <c r="H5" s="3" t="n">
        <f aca="false">SUMIFS('All Matches'!$H:$H,'All Matches'!$A:$A,$A5)</f>
        <v>18</v>
      </c>
      <c r="I5" s="3" t="n">
        <f aca="false">SUMIFS('All Matches'!$I:$I,'All Matches'!$A:$A,$A5)</f>
        <v>21</v>
      </c>
      <c r="J5" s="3" t="n">
        <f aca="false">H5-I5</f>
        <v>-3</v>
      </c>
      <c r="K5" s="4" t="s">
        <v>22</v>
      </c>
    </row>
    <row r="6" customFormat="false" ht="15" hidden="false" customHeight="false" outlineLevel="0" collapsed="false">
      <c r="A6" s="2" t="s">
        <v>23</v>
      </c>
      <c r="B6" s="3" t="s">
        <v>12</v>
      </c>
      <c r="C6" s="3" t="s">
        <v>24</v>
      </c>
      <c r="D6" s="3" t="n">
        <f aca="false">COUNTIFS('All Matches'!$A:$A,$A6,'All Matches'!$J:$J,"W")</f>
        <v>2</v>
      </c>
      <c r="E6" s="3" t="n">
        <f aca="false">COUNTIFS('All Matches'!$A:$A,$A6,'All Matches'!$J:$J,"D")</f>
        <v>4</v>
      </c>
      <c r="F6" s="3" t="n">
        <f aca="false">COUNTIFS('All Matches'!$A:$A,$A6,'All Matches'!$J:$J,"L")</f>
        <v>4</v>
      </c>
      <c r="G6" s="3" t="n">
        <f aca="false">D6*3+E6</f>
        <v>10</v>
      </c>
      <c r="H6" s="3" t="n">
        <f aca="false">SUMIFS('All Matches'!$H:$H,'All Matches'!$A:$A,$A6)</f>
        <v>9</v>
      </c>
      <c r="I6" s="3" t="n">
        <f aca="false">SUMIFS('All Matches'!$I:$I,'All Matches'!$A:$A,$A6)</f>
        <v>12</v>
      </c>
      <c r="J6" s="3" t="n">
        <f aca="false">H6-I6</f>
        <v>-3</v>
      </c>
      <c r="K6" s="4" t="s">
        <v>25</v>
      </c>
    </row>
    <row r="7" customFormat="false" ht="15" hidden="false" customHeight="false" outlineLevel="0" collapsed="false">
      <c r="A7" s="2" t="s">
        <v>26</v>
      </c>
      <c r="B7" s="3" t="s">
        <v>12</v>
      </c>
      <c r="C7" s="3" t="s">
        <v>27</v>
      </c>
      <c r="D7" s="3" t="n">
        <f aca="false">COUNTIFS('All Matches'!$A:$A,$A7,'All Matches'!$J:$J,"W")</f>
        <v>4</v>
      </c>
      <c r="E7" s="3" t="n">
        <f aca="false">COUNTIFS('All Matches'!$A:$A,$A7,'All Matches'!$J:$J,"D")</f>
        <v>5</v>
      </c>
      <c r="F7" s="3" t="n">
        <f aca="false">COUNTIFS('All Matches'!$A:$A,$A7,'All Matches'!$J:$J,"L")</f>
        <v>1</v>
      </c>
      <c r="G7" s="3" t="n">
        <f aca="false">D7*3+E7</f>
        <v>17</v>
      </c>
      <c r="H7" s="3" t="n">
        <f aca="false">SUMIFS('All Matches'!$H:$H,'All Matches'!$A:$A,$A7)</f>
        <v>16</v>
      </c>
      <c r="I7" s="3" t="n">
        <f aca="false">SUMIFS('All Matches'!$I:$I,'All Matches'!$A:$A,$A7)</f>
        <v>6</v>
      </c>
      <c r="J7" s="3" t="n">
        <f aca="false">H7-I7</f>
        <v>10</v>
      </c>
      <c r="K7" s="4" t="s">
        <v>28</v>
      </c>
    </row>
    <row r="8" customFormat="false" ht="15" hidden="false" customHeight="false" outlineLevel="0" collapsed="false">
      <c r="A8" s="2" t="s">
        <v>29</v>
      </c>
      <c r="B8" s="3" t="s">
        <v>12</v>
      </c>
      <c r="C8" s="3" t="s">
        <v>21</v>
      </c>
      <c r="D8" s="3" t="n">
        <f aca="false">COUNTIFS('All Matches'!$A:$A,$A8,'All Matches'!$J:$J,"W")</f>
        <v>6</v>
      </c>
      <c r="E8" s="3" t="n">
        <f aca="false">COUNTIFS('All Matches'!$A:$A,$A8,'All Matches'!$J:$J,"D")</f>
        <v>3</v>
      </c>
      <c r="F8" s="3" t="n">
        <f aca="false">COUNTIFS('All Matches'!$A:$A,$A8,'All Matches'!$J:$J,"L")</f>
        <v>1</v>
      </c>
      <c r="G8" s="3" t="n">
        <f aca="false">D8*3+E8</f>
        <v>21</v>
      </c>
      <c r="H8" s="3" t="n">
        <f aca="false">SUMIFS('All Matches'!$H:$H,'All Matches'!$A:$A,$A8)</f>
        <v>24</v>
      </c>
      <c r="I8" s="3" t="n">
        <f aca="false">SUMIFS('All Matches'!$I:$I,'All Matches'!$A:$A,$A8)</f>
        <v>9</v>
      </c>
      <c r="J8" s="3" t="n">
        <f aca="false">H8-I8</f>
        <v>15</v>
      </c>
      <c r="K8" s="4" t="s">
        <v>30</v>
      </c>
    </row>
    <row r="9" customFormat="false" ht="15" hidden="false" customHeight="false" outlineLevel="0" collapsed="false">
      <c r="A9" s="2" t="s">
        <v>31</v>
      </c>
      <c r="B9" s="3" t="s">
        <v>12</v>
      </c>
      <c r="C9" s="3" t="s">
        <v>32</v>
      </c>
      <c r="D9" s="3" t="n">
        <f aca="false">COUNTIFS('All Matches'!$A:$A,$A9,'All Matches'!$J:$J,"W")</f>
        <v>6</v>
      </c>
      <c r="E9" s="3" t="n">
        <f aca="false">COUNTIFS('All Matches'!$A:$A,$A9,'All Matches'!$J:$J,"D")</f>
        <v>3</v>
      </c>
      <c r="F9" s="3" t="n">
        <f aca="false">COUNTIFS('All Matches'!$A:$A,$A9,'All Matches'!$J:$J,"L")</f>
        <v>1</v>
      </c>
      <c r="G9" s="3" t="n">
        <f aca="false">D9*3+E9</f>
        <v>21</v>
      </c>
      <c r="H9" s="3" t="n">
        <f aca="false">SUMIFS('All Matches'!$H:$H,'All Matches'!$A:$A,$A9)</f>
        <v>16</v>
      </c>
      <c r="I9" s="3" t="n">
        <f aca="false">SUMIFS('All Matches'!$I:$I,'All Matches'!$A:$A,$A9)</f>
        <v>7</v>
      </c>
      <c r="J9" s="3" t="n">
        <f aca="false">H9-I9</f>
        <v>9</v>
      </c>
      <c r="K9" s="4" t="s">
        <v>33</v>
      </c>
    </row>
    <row r="10" customFormat="false" ht="15" hidden="false" customHeight="false" outlineLevel="0" collapsed="false">
      <c r="A10" s="2" t="s">
        <v>34</v>
      </c>
      <c r="B10" s="3" t="s">
        <v>12</v>
      </c>
      <c r="C10" s="3" t="s">
        <v>35</v>
      </c>
      <c r="D10" s="3" t="n">
        <f aca="false">COUNTIFS('All Matches'!$A:$A,$A10,'All Matches'!$J:$J,"W")</f>
        <v>5</v>
      </c>
      <c r="E10" s="3" t="n">
        <f aca="false">COUNTIFS('All Matches'!$A:$A,$A10,'All Matches'!$J:$J,"D")</f>
        <v>4</v>
      </c>
      <c r="F10" s="3" t="n">
        <f aca="false">COUNTIFS('All Matches'!$A:$A,$A10,'All Matches'!$J:$J,"L")</f>
        <v>1</v>
      </c>
      <c r="G10" s="3" t="n">
        <f aca="false">D10*3+E10</f>
        <v>19</v>
      </c>
      <c r="H10" s="3" t="n">
        <f aca="false">SUMIFS('All Matches'!$H:$H,'All Matches'!$A:$A,$A10)</f>
        <v>23</v>
      </c>
      <c r="I10" s="3" t="n">
        <f aca="false">SUMIFS('All Matches'!$I:$I,'All Matches'!$A:$A,$A10)</f>
        <v>8</v>
      </c>
      <c r="J10" s="3" t="n">
        <f aca="false">H10-I10</f>
        <v>15</v>
      </c>
      <c r="K10" s="4" t="s">
        <v>36</v>
      </c>
    </row>
    <row r="11" customFormat="false" ht="15" hidden="false" customHeight="false" outlineLevel="0" collapsed="false">
      <c r="A11" s="2" t="s">
        <v>37</v>
      </c>
      <c r="B11" s="3" t="s">
        <v>12</v>
      </c>
      <c r="C11" s="3" t="s">
        <v>5</v>
      </c>
      <c r="D11" s="3" t="n">
        <f aca="false">COUNTIFS('All Matches'!$A:$A,$A11,'All Matches'!$J:$J,"W")</f>
        <v>7</v>
      </c>
      <c r="E11" s="3" t="n">
        <f aca="false">COUNTIFS('All Matches'!$A:$A,$A11,'All Matches'!$J:$J,"D")</f>
        <v>0</v>
      </c>
      <c r="F11" s="3" t="n">
        <f aca="false">COUNTIFS('All Matches'!$A:$A,$A11,'All Matches'!$J:$J,"L")</f>
        <v>3</v>
      </c>
      <c r="G11" s="3" t="n">
        <f aca="false">D11*3+E11</f>
        <v>21</v>
      </c>
      <c r="H11" s="3" t="n">
        <f aca="false">SUMIFS('All Matches'!$H:$H,'All Matches'!$A:$A,$A11)</f>
        <v>19</v>
      </c>
      <c r="I11" s="3" t="n">
        <f aca="false">SUMIFS('All Matches'!$I:$I,'All Matches'!$A:$A,$A11)</f>
        <v>15</v>
      </c>
      <c r="J11" s="3" t="n">
        <f aca="false">H11-I11</f>
        <v>4</v>
      </c>
      <c r="K11" s="4" t="s">
        <v>38</v>
      </c>
    </row>
    <row r="12" customFormat="false" ht="15" hidden="false" customHeight="false" outlineLevel="0" collapsed="false">
      <c r="A12" s="2" t="s">
        <v>39</v>
      </c>
      <c r="B12" s="3" t="s">
        <v>12</v>
      </c>
      <c r="C12" s="3" t="s">
        <v>40</v>
      </c>
      <c r="D12" s="3" t="n">
        <f aca="false">COUNTIFS('All Matches'!$A:$A,$A12,'All Matches'!$J:$J,"W")</f>
        <v>6</v>
      </c>
      <c r="E12" s="3" t="n">
        <f aca="false">COUNTIFS('All Matches'!$A:$A,$A12,'All Matches'!$J:$J,"D")</f>
        <v>4</v>
      </c>
      <c r="F12" s="3" t="n">
        <f aca="false">COUNTIFS('All Matches'!$A:$A,$A12,'All Matches'!$J:$J,"L")</f>
        <v>0</v>
      </c>
      <c r="G12" s="3" t="n">
        <f aca="false">D12*3+E12</f>
        <v>22</v>
      </c>
      <c r="H12" s="3" t="n">
        <f aca="false">SUMIFS('All Matches'!$H:$H,'All Matches'!$A:$A,$A12)</f>
        <v>22</v>
      </c>
      <c r="I12" s="3" t="n">
        <f aca="false">SUMIFS('All Matches'!$I:$I,'All Matches'!$A:$A,$A12)</f>
        <v>4</v>
      </c>
      <c r="J12" s="3" t="n">
        <f aca="false">H12-I12</f>
        <v>18</v>
      </c>
      <c r="K12" s="4" t="s">
        <v>41</v>
      </c>
    </row>
    <row r="13" customFormat="false" ht="15" hidden="false" customHeight="false" outlineLevel="0" collapsed="false">
      <c r="A13" s="2" t="s">
        <v>42</v>
      </c>
      <c r="B13" s="3" t="s">
        <v>12</v>
      </c>
      <c r="C13" s="3" t="s">
        <v>43</v>
      </c>
      <c r="D13" s="3" t="n">
        <f aca="false">COUNTIFS('All Matches'!$A:$A,$A13,'All Matches'!$J:$J,"W")</f>
        <v>7</v>
      </c>
      <c r="E13" s="3" t="n">
        <f aca="false">COUNTIFS('All Matches'!$A:$A,$A13,'All Matches'!$J:$J,"D")</f>
        <v>2</v>
      </c>
      <c r="F13" s="3" t="n">
        <f aca="false">COUNTIFS('All Matches'!$A:$A,$A13,'All Matches'!$J:$J,"L")</f>
        <v>1</v>
      </c>
      <c r="G13" s="3" t="n">
        <f aca="false">D13*3+E13</f>
        <v>23</v>
      </c>
      <c r="H13" s="3" t="n">
        <f aca="false">SUMIFS('All Matches'!$H:$H,'All Matches'!$A:$A,$A13)</f>
        <v>27</v>
      </c>
      <c r="I13" s="3" t="n">
        <f aca="false">SUMIFS('All Matches'!$I:$I,'All Matches'!$A:$A,$A13)</f>
        <v>8</v>
      </c>
      <c r="J13" s="3" t="n">
        <f aca="false">H13-I13</f>
        <v>19</v>
      </c>
      <c r="K13" s="4" t="s">
        <v>44</v>
      </c>
    </row>
    <row r="14" customFormat="false" ht="15" hidden="false" customHeight="false" outlineLevel="0" collapsed="false">
      <c r="A14" s="2" t="s">
        <v>45</v>
      </c>
      <c r="B14" s="3" t="s">
        <v>12</v>
      </c>
      <c r="C14" s="3" t="s">
        <v>4</v>
      </c>
      <c r="D14" s="3" t="n">
        <f aca="false">COUNTIFS('All Matches'!$A:$A,$A14,'All Matches'!$J:$J,"W")</f>
        <v>6</v>
      </c>
      <c r="E14" s="3" t="n">
        <f aca="false">COUNTIFS('All Matches'!$A:$A,$A14,'All Matches'!$J:$J,"D")</f>
        <v>0</v>
      </c>
      <c r="F14" s="3" t="n">
        <f aca="false">COUNTIFS('All Matches'!$A:$A,$A14,'All Matches'!$J:$J,"L")</f>
        <v>4</v>
      </c>
      <c r="G14" s="3" t="n">
        <f aca="false">D14*3+E14</f>
        <v>18</v>
      </c>
      <c r="H14" s="3" t="n">
        <f aca="false">SUMIFS('All Matches'!$H:$H,'All Matches'!$A:$A,$A14)</f>
        <v>23</v>
      </c>
      <c r="I14" s="3" t="n">
        <f aca="false">SUMIFS('All Matches'!$I:$I,'All Matches'!$A:$A,$A14)</f>
        <v>18</v>
      </c>
      <c r="J14" s="3" t="n">
        <f aca="false">H14-I14</f>
        <v>5</v>
      </c>
      <c r="K14" s="4" t="s">
        <v>46</v>
      </c>
    </row>
    <row r="15" customFormat="false" ht="15" hidden="false" customHeight="false" outlineLevel="0" collapsed="false">
      <c r="A15" s="2" t="s">
        <v>47</v>
      </c>
      <c r="B15" s="3" t="s">
        <v>12</v>
      </c>
      <c r="C15" s="3" t="s">
        <v>27</v>
      </c>
      <c r="D15" s="3" t="n">
        <f aca="false">COUNTIFS('All Matches'!$A:$A,$A15,'All Matches'!$J:$J,"W")</f>
        <v>5</v>
      </c>
      <c r="E15" s="3" t="n">
        <f aca="false">COUNTIFS('All Matches'!$A:$A,$A15,'All Matches'!$J:$J,"D")</f>
        <v>4</v>
      </c>
      <c r="F15" s="3" t="n">
        <f aca="false">COUNTIFS('All Matches'!$A:$A,$A15,'All Matches'!$J:$J,"L")</f>
        <v>1</v>
      </c>
      <c r="G15" s="3" t="n">
        <f aca="false">D15*3+E15</f>
        <v>19</v>
      </c>
      <c r="H15" s="3" t="n">
        <f aca="false">SUMIFS('All Matches'!$H:$H,'All Matches'!$A:$A,$A15)</f>
        <v>16</v>
      </c>
      <c r="I15" s="3" t="n">
        <f aca="false">SUMIFS('All Matches'!$I:$I,'All Matches'!$A:$A,$A15)</f>
        <v>12</v>
      </c>
      <c r="J15" s="3" t="n">
        <f aca="false">H15-I15</f>
        <v>4</v>
      </c>
      <c r="K15" s="4" t="s">
        <v>48</v>
      </c>
    </row>
    <row r="16" customFormat="false" ht="15" hidden="false" customHeight="false" outlineLevel="0" collapsed="false">
      <c r="A16" s="2" t="s">
        <v>49</v>
      </c>
      <c r="B16" s="3" t="s">
        <v>12</v>
      </c>
      <c r="C16" s="3" t="s">
        <v>50</v>
      </c>
      <c r="D16" s="3" t="n">
        <f aca="false">COUNTIFS('All Matches'!$A:$A,$A16,'All Matches'!$J:$J,"W")</f>
        <v>6</v>
      </c>
      <c r="E16" s="3" t="n">
        <f aca="false">COUNTIFS('All Matches'!$A:$A,$A16,'All Matches'!$J:$J,"D")</f>
        <v>4</v>
      </c>
      <c r="F16" s="3" t="n">
        <f aca="false">COUNTIFS('All Matches'!$A:$A,$A16,'All Matches'!$J:$J,"L")</f>
        <v>0</v>
      </c>
      <c r="G16" s="3" t="n">
        <f aca="false">D16*3+E16</f>
        <v>22</v>
      </c>
      <c r="H16" s="3" t="n">
        <f aca="false">SUMIFS('All Matches'!$H:$H,'All Matches'!$A:$A,$A16)</f>
        <v>31</v>
      </c>
      <c r="I16" s="3" t="n">
        <f aca="false">SUMIFS('All Matches'!$I:$I,'All Matches'!$A:$A,$A16)</f>
        <v>8</v>
      </c>
      <c r="J16" s="3" t="n">
        <f aca="false">H16-I16</f>
        <v>23</v>
      </c>
      <c r="K16" s="4" t="s">
        <v>51</v>
      </c>
    </row>
    <row r="17" customFormat="false" ht="15" hidden="false" customHeight="false" outlineLevel="0" collapsed="false">
      <c r="A17" s="2" t="s">
        <v>52</v>
      </c>
      <c r="B17" s="3" t="s">
        <v>12</v>
      </c>
      <c r="C17" s="3" t="s">
        <v>18</v>
      </c>
      <c r="D17" s="3" t="n">
        <f aca="false">COUNTIFS('All Matches'!$A:$A,$A17,'All Matches'!$J:$J,"W")</f>
        <v>6</v>
      </c>
      <c r="E17" s="3" t="n">
        <f aca="false">COUNTIFS('All Matches'!$A:$A,$A17,'All Matches'!$J:$J,"D")</f>
        <v>1</v>
      </c>
      <c r="F17" s="3" t="n">
        <f aca="false">COUNTIFS('All Matches'!$A:$A,$A17,'All Matches'!$J:$J,"L")</f>
        <v>3</v>
      </c>
      <c r="G17" s="3" t="n">
        <f aca="false">D17*3+E17</f>
        <v>19</v>
      </c>
      <c r="H17" s="3" t="n">
        <f aca="false">SUMIFS('All Matches'!$H:$H,'All Matches'!$A:$A,$A17)</f>
        <v>18</v>
      </c>
      <c r="I17" s="3" t="n">
        <f aca="false">SUMIFS('All Matches'!$I:$I,'All Matches'!$A:$A,$A17)</f>
        <v>10</v>
      </c>
      <c r="J17" s="3" t="n">
        <f aca="false">H17-I17</f>
        <v>8</v>
      </c>
      <c r="K17" s="4" t="s">
        <v>53</v>
      </c>
    </row>
    <row r="18" customFormat="false" ht="15" hidden="false" customHeight="false" outlineLevel="0" collapsed="false">
      <c r="A18" s="2" t="s">
        <v>54</v>
      </c>
      <c r="B18" s="3" t="s">
        <v>55</v>
      </c>
      <c r="C18" s="3" t="s">
        <v>32</v>
      </c>
      <c r="D18" s="3" t="n">
        <f aca="false">COUNTIFS('All Matches'!$A:$A,$A18,'All Matches'!$J:$J,"W")</f>
        <v>6</v>
      </c>
      <c r="E18" s="3" t="n">
        <f aca="false">COUNTIFS('All Matches'!$A:$A,$A18,'All Matches'!$J:$J,"D")</f>
        <v>2</v>
      </c>
      <c r="F18" s="3" t="n">
        <f aca="false">COUNTIFS('All Matches'!$A:$A,$A18,'All Matches'!$J:$J,"L")</f>
        <v>2</v>
      </c>
      <c r="G18" s="3" t="n">
        <f aca="false">D18*3+E18</f>
        <v>20</v>
      </c>
      <c r="H18" s="3" t="n">
        <f aca="false">SUMIFS('All Matches'!$H:$H,'All Matches'!$A:$A,$A18)</f>
        <v>24</v>
      </c>
      <c r="I18" s="3" t="n">
        <f aca="false">SUMIFS('All Matches'!$I:$I,'All Matches'!$A:$A,$A18)</f>
        <v>11</v>
      </c>
      <c r="J18" s="3" t="n">
        <f aca="false">H18-I18</f>
        <v>13</v>
      </c>
      <c r="K18" s="4" t="s">
        <v>56</v>
      </c>
    </row>
    <row r="19" customFormat="false" ht="15" hidden="false" customHeight="false" outlineLevel="0" collapsed="false">
      <c r="A19" s="2" t="s">
        <v>57</v>
      </c>
      <c r="B19" s="3" t="s">
        <v>55</v>
      </c>
      <c r="C19" s="3" t="s">
        <v>21</v>
      </c>
      <c r="D19" s="3" t="n">
        <f aca="false">COUNTIFS('All Matches'!$A:$A,$A19,'All Matches'!$J:$J,"W")</f>
        <v>7</v>
      </c>
      <c r="E19" s="3" t="n">
        <f aca="false">COUNTIFS('All Matches'!$A:$A,$A19,'All Matches'!$J:$J,"D")</f>
        <v>3</v>
      </c>
      <c r="F19" s="3" t="n">
        <f aca="false">COUNTIFS('All Matches'!$A:$A,$A19,'All Matches'!$J:$J,"L")</f>
        <v>0</v>
      </c>
      <c r="G19" s="3" t="n">
        <f aca="false">D19*3+E19</f>
        <v>24</v>
      </c>
      <c r="H19" s="3" t="n">
        <f aca="false">SUMIFS('All Matches'!$H:$H,'All Matches'!$A:$A,$A19)</f>
        <v>20</v>
      </c>
      <c r="I19" s="3" t="n">
        <f aca="false">SUMIFS('All Matches'!$I:$I,'All Matches'!$A:$A,$A19)</f>
        <v>7</v>
      </c>
      <c r="J19" s="3" t="n">
        <f aca="false">H19-I19</f>
        <v>13</v>
      </c>
      <c r="K19" s="4" t="s">
        <v>58</v>
      </c>
    </row>
    <row r="20" customFormat="false" ht="15" hidden="false" customHeight="false" outlineLevel="0" collapsed="false">
      <c r="A20" s="2" t="s">
        <v>59</v>
      </c>
      <c r="B20" s="3" t="s">
        <v>55</v>
      </c>
      <c r="C20" s="3" t="s">
        <v>13</v>
      </c>
      <c r="D20" s="3" t="n">
        <f aca="false">COUNTIFS('All Matches'!$A:$A,$A20,'All Matches'!$J:$J,"W")</f>
        <v>7</v>
      </c>
      <c r="E20" s="3" t="n">
        <f aca="false">COUNTIFS('All Matches'!$A:$A,$A20,'All Matches'!$J:$J,"D")</f>
        <v>1</v>
      </c>
      <c r="F20" s="3" t="n">
        <f aca="false">COUNTIFS('All Matches'!$A:$A,$A20,'All Matches'!$J:$J,"L")</f>
        <v>2</v>
      </c>
      <c r="G20" s="3" t="n">
        <f aca="false">D20*3+E20</f>
        <v>22</v>
      </c>
      <c r="H20" s="3" t="n">
        <f aca="false">SUMIFS('All Matches'!$H:$H,'All Matches'!$A:$A,$A20)</f>
        <v>20</v>
      </c>
      <c r="I20" s="3" t="n">
        <f aca="false">SUMIFS('All Matches'!$I:$I,'All Matches'!$A:$A,$A20)</f>
        <v>9</v>
      </c>
      <c r="J20" s="3" t="n">
        <f aca="false">H20-I20</f>
        <v>11</v>
      </c>
      <c r="K20" s="4" t="s">
        <v>60</v>
      </c>
    </row>
    <row r="21" customFormat="false" ht="15" hidden="false" customHeight="false" outlineLevel="0" collapsed="false">
      <c r="A21" s="2" t="s">
        <v>61</v>
      </c>
      <c r="B21" s="3" t="s">
        <v>55</v>
      </c>
      <c r="C21" s="3" t="s">
        <v>18</v>
      </c>
      <c r="D21" s="3" t="n">
        <f aca="false">COUNTIFS('All Matches'!$A:$A,$A21,'All Matches'!$J:$J,"W")</f>
        <v>8</v>
      </c>
      <c r="E21" s="3" t="n">
        <f aca="false">COUNTIFS('All Matches'!$A:$A,$A21,'All Matches'!$J:$J,"D")</f>
        <v>1</v>
      </c>
      <c r="F21" s="3" t="n">
        <f aca="false">COUNTIFS('All Matches'!$A:$A,$A21,'All Matches'!$J:$J,"L")</f>
        <v>1</v>
      </c>
      <c r="G21" s="3" t="n">
        <f aca="false">D21*3+E21</f>
        <v>25</v>
      </c>
      <c r="H21" s="3" t="n">
        <f aca="false">SUMIFS('All Matches'!$H:$H,'All Matches'!$A:$A,$A21)</f>
        <v>37</v>
      </c>
      <c r="I21" s="3" t="n">
        <f aca="false">SUMIFS('All Matches'!$I:$I,'All Matches'!$A:$A,$A21)</f>
        <v>12</v>
      </c>
      <c r="J21" s="3" t="n">
        <f aca="false">H21-I21</f>
        <v>25</v>
      </c>
      <c r="K21" s="4" t="s">
        <v>62</v>
      </c>
    </row>
    <row r="22" customFormat="false" ht="15" hidden="false" customHeight="false" outlineLevel="0" collapsed="false">
      <c r="A22" s="2" t="s">
        <v>63</v>
      </c>
      <c r="B22" s="3" t="s">
        <v>55</v>
      </c>
      <c r="C22" s="3" t="s">
        <v>24</v>
      </c>
      <c r="D22" s="3" t="n">
        <f aca="false">COUNTIFS('All Matches'!$A:$A,$A22,'All Matches'!$J:$J,"W")</f>
        <v>7</v>
      </c>
      <c r="E22" s="3" t="n">
        <f aca="false">COUNTIFS('All Matches'!$A:$A,$A22,'All Matches'!$J:$J,"D")</f>
        <v>3</v>
      </c>
      <c r="F22" s="3" t="n">
        <f aca="false">COUNTIFS('All Matches'!$A:$A,$A22,'All Matches'!$J:$J,"L")</f>
        <v>0</v>
      </c>
      <c r="G22" s="3" t="n">
        <f aca="false">D22*3+E22</f>
        <v>24</v>
      </c>
      <c r="H22" s="3" t="n">
        <f aca="false">SUMIFS('All Matches'!$H:$H,'All Matches'!$A:$A,$A22)</f>
        <v>15</v>
      </c>
      <c r="I22" s="3" t="n">
        <f aca="false">SUMIFS('All Matches'!$I:$I,'All Matches'!$A:$A,$A22)</f>
        <v>2</v>
      </c>
      <c r="J22" s="3" t="n">
        <f aca="false">H22-I22</f>
        <v>13</v>
      </c>
      <c r="K22" s="4" t="s">
        <v>64</v>
      </c>
    </row>
    <row r="23" customFormat="false" ht="15" hidden="false" customHeight="false" outlineLevel="0" collapsed="false">
      <c r="A23" s="2" t="s">
        <v>65</v>
      </c>
      <c r="B23" s="3" t="s">
        <v>55</v>
      </c>
      <c r="C23" s="3" t="s">
        <v>13</v>
      </c>
      <c r="D23" s="3" t="n">
        <f aca="false">COUNTIFS('All Matches'!$A:$A,$A23,'All Matches'!$J:$J,"W")</f>
        <v>3</v>
      </c>
      <c r="E23" s="3" t="n">
        <f aca="false">COUNTIFS('All Matches'!$A:$A,$A23,'All Matches'!$J:$J,"D")</f>
        <v>6</v>
      </c>
      <c r="F23" s="3" t="n">
        <f aca="false">COUNTIFS('All Matches'!$A:$A,$A23,'All Matches'!$J:$J,"L")</f>
        <v>1</v>
      </c>
      <c r="G23" s="3" t="n">
        <f aca="false">D23*3+E23</f>
        <v>15</v>
      </c>
      <c r="H23" s="3" t="n">
        <f aca="false">SUMIFS('All Matches'!$H:$H,'All Matches'!$A:$A,$A23)</f>
        <v>9</v>
      </c>
      <c r="I23" s="3" t="n">
        <f aca="false">SUMIFS('All Matches'!$I:$I,'All Matches'!$A:$A,$A23)</f>
        <v>6</v>
      </c>
      <c r="J23" s="3" t="n">
        <f aca="false">H23-I23</f>
        <v>3</v>
      </c>
      <c r="K23" s="4" t="s">
        <v>66</v>
      </c>
    </row>
    <row r="24" customFormat="false" ht="15" hidden="false" customHeight="false" outlineLevel="0" collapsed="false">
      <c r="A24" s="2" t="s">
        <v>67</v>
      </c>
      <c r="B24" s="3" t="s">
        <v>55</v>
      </c>
      <c r="C24" s="3" t="s">
        <v>5</v>
      </c>
      <c r="D24" s="3" t="n">
        <f aca="false">COUNTIFS('All Matches'!$A:$A,$A24,'All Matches'!$J:$J,"W")</f>
        <v>7</v>
      </c>
      <c r="E24" s="3" t="n">
        <f aca="false">COUNTIFS('All Matches'!$A:$A,$A24,'All Matches'!$J:$J,"D")</f>
        <v>2</v>
      </c>
      <c r="F24" s="3" t="n">
        <f aca="false">COUNTIFS('All Matches'!$A:$A,$A24,'All Matches'!$J:$J,"L")</f>
        <v>1</v>
      </c>
      <c r="G24" s="3" t="n">
        <f aca="false">D24*3+E24</f>
        <v>23</v>
      </c>
      <c r="H24" s="3" t="n">
        <f aca="false">SUMIFS('All Matches'!$H:$H,'All Matches'!$A:$A,$A24)</f>
        <v>20</v>
      </c>
      <c r="I24" s="3" t="n">
        <f aca="false">SUMIFS('All Matches'!$I:$I,'All Matches'!$A:$A,$A24)</f>
        <v>4</v>
      </c>
      <c r="J24" s="3" t="n">
        <f aca="false">H24-I24</f>
        <v>16</v>
      </c>
      <c r="K24" s="4" t="s">
        <v>68</v>
      </c>
    </row>
    <row r="25" customFormat="false" ht="15" hidden="false" customHeight="false" outlineLevel="0" collapsed="false">
      <c r="A25" s="2" t="s">
        <v>69</v>
      </c>
      <c r="B25" s="3" t="s">
        <v>55</v>
      </c>
      <c r="C25" s="3" t="s">
        <v>35</v>
      </c>
      <c r="D25" s="3" t="n">
        <f aca="false">COUNTIFS('All Matches'!$A:$A,$A25,'All Matches'!$J:$J,"W")</f>
        <v>4</v>
      </c>
      <c r="E25" s="3" t="n">
        <f aca="false">COUNTIFS('All Matches'!$A:$A,$A25,'All Matches'!$J:$J,"D")</f>
        <v>3</v>
      </c>
      <c r="F25" s="3" t="n">
        <f aca="false">COUNTIFS('All Matches'!$A:$A,$A25,'All Matches'!$J:$J,"L")</f>
        <v>3</v>
      </c>
      <c r="G25" s="3" t="n">
        <f aca="false">D25*3+E25</f>
        <v>15</v>
      </c>
      <c r="H25" s="3" t="n">
        <f aca="false">SUMIFS('All Matches'!$H:$H,'All Matches'!$A:$A,$A25)</f>
        <v>12</v>
      </c>
      <c r="I25" s="3" t="n">
        <f aca="false">SUMIFS('All Matches'!$I:$I,'All Matches'!$A:$A,$A25)</f>
        <v>7</v>
      </c>
      <c r="J25" s="3" t="n">
        <f aca="false">H25-I25</f>
        <v>5</v>
      </c>
      <c r="K25" s="4" t="s">
        <v>70</v>
      </c>
    </row>
    <row r="26" customFormat="false" ht="15" hidden="false" customHeight="false" outlineLevel="0" collapsed="false">
      <c r="A26" s="2" t="s">
        <v>71</v>
      </c>
      <c r="B26" s="3" t="s">
        <v>55</v>
      </c>
      <c r="C26" s="3" t="s">
        <v>43</v>
      </c>
      <c r="D26" s="3" t="n">
        <f aca="false">COUNTIFS('All Matches'!$A:$A,$A26,'All Matches'!$J:$J,"W")</f>
        <v>10</v>
      </c>
      <c r="E26" s="3" t="n">
        <f aca="false">COUNTIFS('All Matches'!$A:$A,$A26,'All Matches'!$J:$J,"D")</f>
        <v>0</v>
      </c>
      <c r="F26" s="3" t="n">
        <f aca="false">COUNTIFS('All Matches'!$A:$A,$A26,'All Matches'!$J:$J,"L")</f>
        <v>0</v>
      </c>
      <c r="G26" s="3" t="n">
        <f aca="false">D26*3+E26</f>
        <v>30</v>
      </c>
      <c r="H26" s="3" t="n">
        <f aca="false">SUMIFS('All Matches'!$H:$H,'All Matches'!$A:$A,$A26)</f>
        <v>29</v>
      </c>
      <c r="I26" s="3" t="n">
        <f aca="false">SUMIFS('All Matches'!$I:$I,'All Matches'!$A:$A,$A26)</f>
        <v>2</v>
      </c>
      <c r="J26" s="3" t="n">
        <f aca="false">H26-I26</f>
        <v>27</v>
      </c>
      <c r="K26" s="4" t="s">
        <v>72</v>
      </c>
    </row>
    <row r="27" customFormat="false" ht="15" hidden="false" customHeight="false" outlineLevel="0" collapsed="false">
      <c r="A27" s="2" t="s">
        <v>73</v>
      </c>
      <c r="B27" s="3" t="s">
        <v>55</v>
      </c>
      <c r="C27" s="3" t="s">
        <v>40</v>
      </c>
      <c r="D27" s="3" t="n">
        <f aca="false">COUNTIFS('All Matches'!$A:$A,$A27,'All Matches'!$J:$J,"W")</f>
        <v>3</v>
      </c>
      <c r="E27" s="3" t="n">
        <f aca="false">COUNTIFS('All Matches'!$A:$A,$A27,'All Matches'!$J:$J,"D")</f>
        <v>6</v>
      </c>
      <c r="F27" s="3" t="n">
        <f aca="false">COUNTIFS('All Matches'!$A:$A,$A27,'All Matches'!$J:$J,"L")</f>
        <v>1</v>
      </c>
      <c r="G27" s="3" t="n">
        <f aca="false">D27*3+E27</f>
        <v>15</v>
      </c>
      <c r="H27" s="3" t="n">
        <f aca="false">SUMIFS('All Matches'!$H:$H,'All Matches'!$A:$A,$A27)</f>
        <v>15</v>
      </c>
      <c r="I27" s="3" t="n">
        <f aca="false">SUMIFS('All Matches'!$I:$I,'All Matches'!$A:$A,$A27)</f>
        <v>8</v>
      </c>
      <c r="J27" s="3" t="n">
        <f aca="false">H27-I27</f>
        <v>7</v>
      </c>
      <c r="K27" s="4" t="s">
        <v>74</v>
      </c>
    </row>
    <row r="28" customFormat="false" ht="15" hidden="false" customHeight="false" outlineLevel="0" collapsed="false">
      <c r="A28" s="2" t="s">
        <v>75</v>
      </c>
      <c r="B28" s="3" t="s">
        <v>55</v>
      </c>
      <c r="C28" s="3" t="s">
        <v>4</v>
      </c>
      <c r="D28" s="3" t="n">
        <f aca="false">COUNTIFS('All Matches'!$A:$A,$A28,'All Matches'!$J:$J,"W")</f>
        <v>3</v>
      </c>
      <c r="E28" s="3" t="n">
        <f aca="false">COUNTIFS('All Matches'!$A:$A,$A28,'All Matches'!$J:$J,"D")</f>
        <v>2</v>
      </c>
      <c r="F28" s="3" t="n">
        <f aca="false">COUNTIFS('All Matches'!$A:$A,$A28,'All Matches'!$J:$J,"L")</f>
        <v>5</v>
      </c>
      <c r="G28" s="3" t="n">
        <f aca="false">D28*3+E28</f>
        <v>11</v>
      </c>
      <c r="H28" s="3" t="n">
        <f aca="false">SUMIFS('All Matches'!$H:$H,'All Matches'!$A:$A,$A28)</f>
        <v>10</v>
      </c>
      <c r="I28" s="3" t="n">
        <f aca="false">SUMIFS('All Matches'!$I:$I,'All Matches'!$A:$A,$A28)</f>
        <v>11</v>
      </c>
      <c r="J28" s="3" t="n">
        <f aca="false">H28-I28</f>
        <v>-1</v>
      </c>
      <c r="K28" s="4" t="s">
        <v>76</v>
      </c>
    </row>
    <row r="29" customFormat="false" ht="15" hidden="false" customHeight="false" outlineLevel="0" collapsed="false">
      <c r="A29" s="2" t="s">
        <v>77</v>
      </c>
      <c r="B29" s="3" t="s">
        <v>55</v>
      </c>
      <c r="C29" s="3" t="s">
        <v>50</v>
      </c>
      <c r="D29" s="3" t="n">
        <f aca="false">COUNTIFS('All Matches'!$A:$A,$A29,'All Matches'!$J:$J,"W")</f>
        <v>4</v>
      </c>
      <c r="E29" s="3" t="n">
        <f aca="false">COUNTIFS('All Matches'!$A:$A,$A29,'All Matches'!$J:$J,"D")</f>
        <v>4</v>
      </c>
      <c r="F29" s="3" t="n">
        <f aca="false">COUNTIFS('All Matches'!$A:$A,$A29,'All Matches'!$J:$J,"L")</f>
        <v>2</v>
      </c>
      <c r="G29" s="3" t="n">
        <f aca="false">D29*3+E29</f>
        <v>16</v>
      </c>
      <c r="H29" s="3" t="n">
        <f aca="false">SUMIFS('All Matches'!$H:$H,'All Matches'!$A:$A,$A29)</f>
        <v>13</v>
      </c>
      <c r="I29" s="3" t="n">
        <f aca="false">SUMIFS('All Matches'!$I:$I,'All Matches'!$A:$A,$A29)</f>
        <v>9</v>
      </c>
      <c r="J29" s="3" t="n">
        <f aca="false">H29-I29</f>
        <v>4</v>
      </c>
      <c r="K29" s="4" t="s">
        <v>78</v>
      </c>
    </row>
    <row r="30" customFormat="false" ht="15" hidden="false" customHeight="false" outlineLevel="0" collapsed="false">
      <c r="A30" s="2" t="s">
        <v>79</v>
      </c>
      <c r="B30" s="3" t="s">
        <v>55</v>
      </c>
      <c r="C30" s="3" t="s">
        <v>27</v>
      </c>
      <c r="D30" s="3" t="n">
        <f aca="false">COUNTIFS('All Matches'!$A:$A,$A30,'All Matches'!$J:$J,"W")</f>
        <v>4</v>
      </c>
      <c r="E30" s="3" t="n">
        <f aca="false">COUNTIFS('All Matches'!$A:$A,$A30,'All Matches'!$J:$J,"D")</f>
        <v>5</v>
      </c>
      <c r="F30" s="3" t="n">
        <f aca="false">COUNTIFS('All Matches'!$A:$A,$A30,'All Matches'!$J:$J,"L")</f>
        <v>1</v>
      </c>
      <c r="G30" s="3" t="n">
        <f aca="false">D30*3+E30</f>
        <v>17</v>
      </c>
      <c r="H30" s="3" t="n">
        <f aca="false">SUMIFS('All Matches'!$H:$H,'All Matches'!$A:$A,$A30)</f>
        <v>20</v>
      </c>
      <c r="I30" s="3" t="n">
        <f aca="false">SUMIFS('All Matches'!$I:$I,'All Matches'!$A:$A,$A30)</f>
        <v>11</v>
      </c>
      <c r="J30" s="3" t="n">
        <f aca="false">H30-I30</f>
        <v>9</v>
      </c>
      <c r="K30" s="4" t="s">
        <v>80</v>
      </c>
    </row>
    <row r="31" customFormat="false" ht="15" hidden="false" customHeight="false" outlineLevel="0" collapsed="false">
      <c r="A31" s="2" t="s">
        <v>81</v>
      </c>
      <c r="B31" s="3" t="s">
        <v>55</v>
      </c>
      <c r="C31" s="3" t="s">
        <v>43</v>
      </c>
      <c r="D31" s="3" t="n">
        <f aca="false">COUNTIFS('All Matches'!$A:$A,$A31,'All Matches'!$J:$J,"W")</f>
        <v>6</v>
      </c>
      <c r="E31" s="3" t="n">
        <f aca="false">COUNTIFS('All Matches'!$A:$A,$A31,'All Matches'!$J:$J,"D")</f>
        <v>2</v>
      </c>
      <c r="F31" s="3" t="n">
        <f aca="false">COUNTIFS('All Matches'!$A:$A,$A31,'All Matches'!$J:$J,"L")</f>
        <v>2</v>
      </c>
      <c r="G31" s="3" t="n">
        <f aca="false">D31*3+E31</f>
        <v>20</v>
      </c>
      <c r="H31" s="3" t="n">
        <f aca="false">SUMIFS('All Matches'!$H:$H,'All Matches'!$A:$A,$A31)</f>
        <v>21</v>
      </c>
      <c r="I31" s="3" t="n">
        <f aca="false">SUMIFS('All Matches'!$I:$I,'All Matches'!$A:$A,$A31)</f>
        <v>10</v>
      </c>
      <c r="J31" s="3" t="n">
        <f aca="false">H31-I31</f>
        <v>11</v>
      </c>
      <c r="K31" s="4" t="s">
        <v>82</v>
      </c>
    </row>
    <row r="32" customFormat="false" ht="15" hidden="false" customHeight="false" outlineLevel="0" collapsed="false">
      <c r="A32" s="2" t="s">
        <v>83</v>
      </c>
      <c r="B32" s="3" t="s">
        <v>55</v>
      </c>
      <c r="C32" s="3" t="s">
        <v>35</v>
      </c>
      <c r="D32" s="3" t="n">
        <f aca="false">COUNTIFS('All Matches'!$A:$A,$A32,'All Matches'!$J:$J,"W")</f>
        <v>6</v>
      </c>
      <c r="E32" s="3" t="n">
        <f aca="false">COUNTIFS('All Matches'!$A:$A,$A32,'All Matches'!$J:$J,"D")</f>
        <v>2</v>
      </c>
      <c r="F32" s="3" t="n">
        <f aca="false">COUNTIFS('All Matches'!$A:$A,$A32,'All Matches'!$J:$J,"L")</f>
        <v>2</v>
      </c>
      <c r="G32" s="3" t="n">
        <f aca="false">D32*3+E32</f>
        <v>20</v>
      </c>
      <c r="H32" s="3" t="n">
        <f aca="false">SUMIFS('All Matches'!$H:$H,'All Matches'!$A:$A,$A32)</f>
        <v>16</v>
      </c>
      <c r="I32" s="3" t="n">
        <f aca="false">SUMIFS('All Matches'!$I:$I,'All Matches'!$A:$A,$A32)</f>
        <v>8</v>
      </c>
      <c r="J32" s="3" t="n">
        <f aca="false">H32-I32</f>
        <v>8</v>
      </c>
      <c r="K32" s="4" t="s">
        <v>84</v>
      </c>
    </row>
    <row r="33" customFormat="false" ht="15" hidden="false" customHeight="false" outlineLevel="0" collapsed="false">
      <c r="A33" s="2" t="s">
        <v>85</v>
      </c>
      <c r="B33" s="3" t="s">
        <v>55</v>
      </c>
      <c r="C33" s="3" t="s">
        <v>5</v>
      </c>
      <c r="D33" s="3" t="n">
        <f aca="false">COUNTIFS('All Matches'!$A:$A,$A33,'All Matches'!$J:$J,"W")</f>
        <v>4</v>
      </c>
      <c r="E33" s="3" t="n">
        <f aca="false">COUNTIFS('All Matches'!$A:$A,$A33,'All Matches'!$J:$J,"D")</f>
        <v>2</v>
      </c>
      <c r="F33" s="3" t="n">
        <f aca="false">COUNTIFS('All Matches'!$A:$A,$A33,'All Matches'!$J:$J,"L")</f>
        <v>4</v>
      </c>
      <c r="G33" s="3" t="n">
        <f aca="false">D33*3+E33</f>
        <v>14</v>
      </c>
      <c r="H33" s="3" t="n">
        <f aca="false">SUMIFS('All Matches'!$H:$H,'All Matches'!$A:$A,$A33)</f>
        <v>12</v>
      </c>
      <c r="I33" s="3" t="n">
        <f aca="false">SUMIFS('All Matches'!$I:$I,'All Matches'!$A:$A,$A33)</f>
        <v>12</v>
      </c>
      <c r="J33" s="3" t="n">
        <f aca="false">H33-I33</f>
        <v>0</v>
      </c>
      <c r="K33" s="4" t="s">
        <v>86</v>
      </c>
    </row>
  </sheetData>
  <autoFilter ref="A1:K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1" min="11" style="0" width="52"/>
  </cols>
  <sheetData>
    <row r="1" customFormat="false" ht="15" hidden="false" customHeight="false" outlineLevel="0" collapsed="false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7</v>
      </c>
      <c r="I1" s="1" t="s">
        <v>8</v>
      </c>
      <c r="J1" s="1" t="s">
        <v>93</v>
      </c>
      <c r="K1" s="1" t="s">
        <v>94</v>
      </c>
    </row>
    <row r="2" customFormat="false" ht="15" hidden="false" customHeight="false" outlineLevel="0" collapsed="false">
      <c r="A2" s="5" t="s">
        <v>11</v>
      </c>
      <c r="B2" s="3" t="n">
        <v>1</v>
      </c>
      <c r="C2" s="5" t="s">
        <v>95</v>
      </c>
      <c r="D2" s="5" t="s">
        <v>96</v>
      </c>
      <c r="E2" s="3" t="s">
        <v>97</v>
      </c>
      <c r="F2" s="5" t="s">
        <v>65</v>
      </c>
      <c r="G2" s="3" t="s">
        <v>98</v>
      </c>
      <c r="H2" s="3" t="n">
        <v>1</v>
      </c>
      <c r="I2" s="3" t="n">
        <v>2</v>
      </c>
      <c r="J2" s="6" t="s">
        <v>5</v>
      </c>
      <c r="K2" s="5"/>
    </row>
    <row r="3" customFormat="false" ht="15" hidden="false" customHeight="false" outlineLevel="0" collapsed="false">
      <c r="A3" s="5" t="s">
        <v>11</v>
      </c>
      <c r="B3" s="3" t="n">
        <v>2</v>
      </c>
      <c r="C3" s="5" t="s">
        <v>99</v>
      </c>
      <c r="D3" s="5" t="s">
        <v>96</v>
      </c>
      <c r="E3" s="3" t="s">
        <v>97</v>
      </c>
      <c r="F3" s="5" t="s">
        <v>59</v>
      </c>
      <c r="G3" s="3" t="s">
        <v>100</v>
      </c>
      <c r="H3" s="3" t="n">
        <v>2</v>
      </c>
      <c r="I3" s="3" t="n">
        <v>1</v>
      </c>
      <c r="J3" s="7" t="s">
        <v>3</v>
      </c>
      <c r="K3" s="5"/>
    </row>
    <row r="4" customFormat="false" ht="15" hidden="false" customHeight="false" outlineLevel="0" collapsed="false">
      <c r="A4" s="5" t="s">
        <v>11</v>
      </c>
      <c r="B4" s="3" t="n">
        <v>3</v>
      </c>
      <c r="C4" s="5" t="s">
        <v>101</v>
      </c>
      <c r="D4" s="5" t="s">
        <v>96</v>
      </c>
      <c r="E4" s="3" t="s">
        <v>97</v>
      </c>
      <c r="F4" s="5" t="s">
        <v>102</v>
      </c>
      <c r="G4" s="3" t="s">
        <v>103</v>
      </c>
      <c r="H4" s="3" t="n">
        <v>7</v>
      </c>
      <c r="I4" s="3" t="n">
        <v>1</v>
      </c>
      <c r="J4" s="7" t="s">
        <v>3</v>
      </c>
      <c r="K4" s="5"/>
    </row>
    <row r="5" customFormat="false" ht="15" hidden="false" customHeight="false" outlineLevel="0" collapsed="false">
      <c r="A5" s="5" t="s">
        <v>11</v>
      </c>
      <c r="B5" s="3" t="n">
        <v>4</v>
      </c>
      <c r="C5" s="5" t="s">
        <v>104</v>
      </c>
      <c r="D5" s="5" t="s">
        <v>105</v>
      </c>
      <c r="E5" s="3" t="s">
        <v>24</v>
      </c>
      <c r="F5" s="5" t="s">
        <v>45</v>
      </c>
      <c r="G5" s="3" t="s">
        <v>100</v>
      </c>
      <c r="H5" s="3" t="n">
        <v>2</v>
      </c>
      <c r="I5" s="3" t="n">
        <v>1</v>
      </c>
      <c r="J5" s="7" t="s">
        <v>3</v>
      </c>
      <c r="K5" s="5"/>
    </row>
    <row r="6" customFormat="false" ht="15" hidden="false" customHeight="false" outlineLevel="0" collapsed="false">
      <c r="A6" s="5" t="s">
        <v>11</v>
      </c>
      <c r="B6" s="3" t="n">
        <v>5</v>
      </c>
      <c r="C6" s="5" t="s">
        <v>106</v>
      </c>
      <c r="D6" s="5" t="s">
        <v>105</v>
      </c>
      <c r="E6" s="3" t="s">
        <v>40</v>
      </c>
      <c r="F6" s="5" t="s">
        <v>107</v>
      </c>
      <c r="G6" s="3" t="s">
        <v>108</v>
      </c>
      <c r="H6" s="3" t="n">
        <v>4</v>
      </c>
      <c r="I6" s="3" t="n">
        <v>0</v>
      </c>
      <c r="J6" s="7" t="s">
        <v>3</v>
      </c>
      <c r="K6" s="5"/>
    </row>
    <row r="7" customFormat="false" ht="15" hidden="false" customHeight="false" outlineLevel="0" collapsed="false">
      <c r="A7" s="5" t="s">
        <v>11</v>
      </c>
      <c r="B7" s="3" t="n">
        <v>6</v>
      </c>
      <c r="C7" s="5" t="s">
        <v>109</v>
      </c>
      <c r="D7" s="5" t="s">
        <v>105</v>
      </c>
      <c r="E7" s="3" t="s">
        <v>40</v>
      </c>
      <c r="F7" s="5" t="s">
        <v>85</v>
      </c>
      <c r="G7" s="3" t="s">
        <v>100</v>
      </c>
      <c r="H7" s="3" t="n">
        <v>2</v>
      </c>
      <c r="I7" s="3" t="n">
        <v>1</v>
      </c>
      <c r="J7" s="7" t="s">
        <v>3</v>
      </c>
      <c r="K7" s="5"/>
    </row>
    <row r="8" customFormat="false" ht="15" hidden="false" customHeight="false" outlineLevel="0" collapsed="false">
      <c r="A8" s="5" t="s">
        <v>11</v>
      </c>
      <c r="B8" s="3" t="n">
        <v>7</v>
      </c>
      <c r="C8" s="5" t="s">
        <v>110</v>
      </c>
      <c r="D8" s="5" t="s">
        <v>105</v>
      </c>
      <c r="E8" s="3" t="s">
        <v>24</v>
      </c>
      <c r="F8" s="5" t="s">
        <v>79</v>
      </c>
      <c r="G8" s="3" t="s">
        <v>111</v>
      </c>
      <c r="H8" s="3" t="n">
        <v>4</v>
      </c>
      <c r="I8" s="3" t="n">
        <v>3</v>
      </c>
      <c r="J8" s="7" t="s">
        <v>3</v>
      </c>
      <c r="K8" s="5"/>
    </row>
    <row r="9" customFormat="false" ht="15" hidden="false" customHeight="false" outlineLevel="0" collapsed="false">
      <c r="A9" s="5" t="s">
        <v>11</v>
      </c>
      <c r="B9" s="3" t="n">
        <v>8</v>
      </c>
      <c r="C9" s="5" t="s">
        <v>112</v>
      </c>
      <c r="D9" s="5" t="s">
        <v>113</v>
      </c>
      <c r="E9" s="3" t="s">
        <v>40</v>
      </c>
      <c r="F9" s="5" t="s">
        <v>114</v>
      </c>
      <c r="G9" s="3" t="s">
        <v>115</v>
      </c>
      <c r="H9" s="3" t="n">
        <v>6</v>
      </c>
      <c r="I9" s="3" t="n">
        <v>0</v>
      </c>
      <c r="J9" s="7" t="s">
        <v>3</v>
      </c>
      <c r="K9" s="5"/>
    </row>
    <row r="10" customFormat="false" ht="15" hidden="false" customHeight="false" outlineLevel="0" collapsed="false">
      <c r="A10" s="5" t="s">
        <v>11</v>
      </c>
      <c r="B10" s="3" t="n">
        <v>9</v>
      </c>
      <c r="C10" s="5" t="s">
        <v>116</v>
      </c>
      <c r="D10" s="5" t="s">
        <v>113</v>
      </c>
      <c r="E10" s="3" t="s">
        <v>24</v>
      </c>
      <c r="F10" s="5" t="s">
        <v>117</v>
      </c>
      <c r="G10" s="3" t="s">
        <v>118</v>
      </c>
      <c r="H10" s="3" t="n">
        <v>2</v>
      </c>
      <c r="I10" s="3" t="n">
        <v>0</v>
      </c>
      <c r="J10" s="7" t="s">
        <v>3</v>
      </c>
      <c r="K10" s="5"/>
    </row>
    <row r="11" customFormat="false" ht="15" hidden="false" customHeight="false" outlineLevel="0" collapsed="false">
      <c r="A11" s="5" t="s">
        <v>11</v>
      </c>
      <c r="B11" s="3" t="n">
        <v>10</v>
      </c>
      <c r="C11" s="5" t="s">
        <v>119</v>
      </c>
      <c r="D11" s="5" t="s">
        <v>113</v>
      </c>
      <c r="E11" s="3" t="s">
        <v>40</v>
      </c>
      <c r="F11" s="5" t="s">
        <v>120</v>
      </c>
      <c r="G11" s="3" t="s">
        <v>121</v>
      </c>
      <c r="H11" s="3" t="n">
        <v>1</v>
      </c>
      <c r="I11" s="3" t="n">
        <v>0</v>
      </c>
      <c r="J11" s="7" t="s">
        <v>3</v>
      </c>
      <c r="K11" s="5"/>
    </row>
    <row r="12" customFormat="false" ht="15" hidden="false" customHeight="false" outlineLevel="0" collapsed="false">
      <c r="A12" s="5" t="s">
        <v>15</v>
      </c>
      <c r="B12" s="3" t="n">
        <v>1</v>
      </c>
      <c r="C12" s="5" t="s">
        <v>95</v>
      </c>
      <c r="D12" s="5" t="s">
        <v>96</v>
      </c>
      <c r="E12" s="3" t="s">
        <v>97</v>
      </c>
      <c r="F12" s="5" t="s">
        <v>75</v>
      </c>
      <c r="G12" s="3" t="s">
        <v>122</v>
      </c>
      <c r="H12" s="3" t="n">
        <v>0</v>
      </c>
      <c r="I12" s="3" t="n">
        <v>0</v>
      </c>
      <c r="J12" s="8" t="s">
        <v>4</v>
      </c>
      <c r="K12" s="5"/>
    </row>
    <row r="13" customFormat="false" ht="15" hidden="false" customHeight="false" outlineLevel="0" collapsed="false">
      <c r="A13" s="5" t="s">
        <v>15</v>
      </c>
      <c r="B13" s="3" t="n">
        <v>2</v>
      </c>
      <c r="C13" s="5" t="s">
        <v>123</v>
      </c>
      <c r="D13" s="5" t="s">
        <v>96</v>
      </c>
      <c r="E13" s="3" t="s">
        <v>97</v>
      </c>
      <c r="F13" s="5" t="s">
        <v>124</v>
      </c>
      <c r="G13" s="3" t="s">
        <v>121</v>
      </c>
      <c r="H13" s="3" t="n">
        <v>1</v>
      </c>
      <c r="I13" s="3" t="n">
        <v>0</v>
      </c>
      <c r="J13" s="7" t="s">
        <v>3</v>
      </c>
      <c r="K13" s="5"/>
    </row>
    <row r="14" customFormat="false" ht="15" hidden="false" customHeight="false" outlineLevel="0" collapsed="false">
      <c r="A14" s="5" t="s">
        <v>15</v>
      </c>
      <c r="B14" s="3" t="n">
        <v>3</v>
      </c>
      <c r="C14" s="5" t="s">
        <v>125</v>
      </c>
      <c r="D14" s="5" t="s">
        <v>96</v>
      </c>
      <c r="E14" s="3" t="s">
        <v>97</v>
      </c>
      <c r="F14" s="5" t="s">
        <v>45</v>
      </c>
      <c r="G14" s="3" t="s">
        <v>126</v>
      </c>
      <c r="H14" s="3" t="n">
        <v>1</v>
      </c>
      <c r="I14" s="3" t="n">
        <v>4</v>
      </c>
      <c r="J14" s="6" t="s">
        <v>5</v>
      </c>
      <c r="K14" s="5"/>
    </row>
    <row r="15" customFormat="false" ht="15" hidden="false" customHeight="false" outlineLevel="0" collapsed="false">
      <c r="A15" s="5" t="s">
        <v>15</v>
      </c>
      <c r="B15" s="3" t="n">
        <v>4</v>
      </c>
      <c r="C15" s="5" t="s">
        <v>127</v>
      </c>
      <c r="D15" s="5" t="s">
        <v>105</v>
      </c>
      <c r="E15" s="3" t="s">
        <v>97</v>
      </c>
      <c r="F15" s="5" t="s">
        <v>128</v>
      </c>
      <c r="G15" s="3" t="s">
        <v>108</v>
      </c>
      <c r="H15" s="3" t="n">
        <v>4</v>
      </c>
      <c r="I15" s="3" t="n">
        <v>0</v>
      </c>
      <c r="J15" s="7" t="s">
        <v>3</v>
      </c>
      <c r="K15" s="5"/>
    </row>
    <row r="16" customFormat="false" ht="15" hidden="false" customHeight="false" outlineLevel="0" collapsed="false">
      <c r="A16" s="5" t="s">
        <v>15</v>
      </c>
      <c r="B16" s="3" t="n">
        <v>5</v>
      </c>
      <c r="C16" s="5" t="s">
        <v>129</v>
      </c>
      <c r="D16" s="5" t="s">
        <v>105</v>
      </c>
      <c r="E16" s="3" t="s">
        <v>97</v>
      </c>
      <c r="F16" s="5" t="s">
        <v>31</v>
      </c>
      <c r="G16" s="3" t="s">
        <v>98</v>
      </c>
      <c r="H16" s="3" t="n">
        <v>1</v>
      </c>
      <c r="I16" s="3" t="n">
        <v>2</v>
      </c>
      <c r="J16" s="6" t="s">
        <v>5</v>
      </c>
      <c r="K16" s="5"/>
    </row>
    <row r="17" customFormat="false" ht="15" hidden="false" customHeight="false" outlineLevel="0" collapsed="false">
      <c r="A17" s="5" t="s">
        <v>15</v>
      </c>
      <c r="B17" s="3" t="n">
        <v>6</v>
      </c>
      <c r="C17" s="5" t="s">
        <v>110</v>
      </c>
      <c r="D17" s="5" t="s">
        <v>105</v>
      </c>
      <c r="E17" s="3" t="s">
        <v>24</v>
      </c>
      <c r="F17" s="5" t="s">
        <v>130</v>
      </c>
      <c r="G17" s="3" t="s">
        <v>121</v>
      </c>
      <c r="H17" s="3" t="n">
        <v>1</v>
      </c>
      <c r="I17" s="3" t="n">
        <v>0</v>
      </c>
      <c r="J17" s="7" t="s">
        <v>3</v>
      </c>
      <c r="K17" s="5"/>
    </row>
    <row r="18" customFormat="false" ht="15" hidden="false" customHeight="false" outlineLevel="0" collapsed="false">
      <c r="A18" s="5" t="s">
        <v>15</v>
      </c>
      <c r="B18" s="3" t="n">
        <v>7</v>
      </c>
      <c r="C18" s="5" t="s">
        <v>131</v>
      </c>
      <c r="D18" s="5" t="s">
        <v>105</v>
      </c>
      <c r="E18" s="3" t="s">
        <v>24</v>
      </c>
      <c r="F18" s="5" t="s">
        <v>63</v>
      </c>
      <c r="G18" s="3" t="s">
        <v>100</v>
      </c>
      <c r="H18" s="3" t="n">
        <v>2</v>
      </c>
      <c r="I18" s="3" t="n">
        <v>1</v>
      </c>
      <c r="J18" s="7" t="s">
        <v>3</v>
      </c>
      <c r="K18" s="5"/>
    </row>
    <row r="19" customFormat="false" ht="15" hidden="false" customHeight="false" outlineLevel="0" collapsed="false">
      <c r="A19" s="5" t="s">
        <v>15</v>
      </c>
      <c r="B19" s="3" t="n">
        <v>8</v>
      </c>
      <c r="C19" s="5" t="s">
        <v>132</v>
      </c>
      <c r="D19" s="5" t="s">
        <v>105</v>
      </c>
      <c r="E19" s="3" t="s">
        <v>97</v>
      </c>
      <c r="F19" s="5" t="s">
        <v>45</v>
      </c>
      <c r="G19" s="3" t="s">
        <v>98</v>
      </c>
      <c r="H19" s="3" t="n">
        <v>1</v>
      </c>
      <c r="I19" s="3" t="n">
        <v>2</v>
      </c>
      <c r="J19" s="6" t="s">
        <v>5</v>
      </c>
      <c r="K19" s="5"/>
    </row>
    <row r="20" customFormat="false" ht="15" hidden="false" customHeight="false" outlineLevel="0" collapsed="false">
      <c r="A20" s="5" t="s">
        <v>15</v>
      </c>
      <c r="B20" s="3" t="n">
        <v>9</v>
      </c>
      <c r="C20" s="5" t="s">
        <v>133</v>
      </c>
      <c r="D20" s="5" t="s">
        <v>105</v>
      </c>
      <c r="E20" s="3" t="s">
        <v>24</v>
      </c>
      <c r="F20" s="5" t="s">
        <v>134</v>
      </c>
      <c r="G20" s="3" t="s">
        <v>135</v>
      </c>
      <c r="H20" s="3" t="n">
        <v>0</v>
      </c>
      <c r="I20" s="3" t="n">
        <v>2</v>
      </c>
      <c r="J20" s="6" t="s">
        <v>5</v>
      </c>
      <c r="K20" s="5"/>
    </row>
    <row r="21" customFormat="false" ht="15" hidden="false" customHeight="false" outlineLevel="0" collapsed="false">
      <c r="A21" s="5" t="s">
        <v>15</v>
      </c>
      <c r="B21" s="3" t="n">
        <v>10</v>
      </c>
      <c r="C21" s="5" t="s">
        <v>136</v>
      </c>
      <c r="D21" s="5" t="s">
        <v>105</v>
      </c>
      <c r="E21" s="3" t="s">
        <v>24</v>
      </c>
      <c r="F21" s="5" t="s">
        <v>57</v>
      </c>
      <c r="G21" s="3" t="s">
        <v>137</v>
      </c>
      <c r="H21" s="3" t="n">
        <v>2</v>
      </c>
      <c r="I21" s="3" t="n">
        <v>2</v>
      </c>
      <c r="J21" s="8" t="s">
        <v>4</v>
      </c>
      <c r="K21" s="5"/>
    </row>
    <row r="22" customFormat="false" ht="15" hidden="false" customHeight="false" outlineLevel="0" collapsed="false">
      <c r="A22" s="5" t="s">
        <v>17</v>
      </c>
      <c r="B22" s="3" t="n">
        <v>1</v>
      </c>
      <c r="C22" s="5" t="s">
        <v>138</v>
      </c>
      <c r="D22" s="5" t="s">
        <v>96</v>
      </c>
      <c r="E22" s="3" t="s">
        <v>97</v>
      </c>
      <c r="F22" s="5" t="s">
        <v>61</v>
      </c>
      <c r="G22" s="3" t="s">
        <v>139</v>
      </c>
      <c r="H22" s="3" t="n">
        <v>4</v>
      </c>
      <c r="I22" s="3" t="n">
        <v>1</v>
      </c>
      <c r="J22" s="7" t="s">
        <v>3</v>
      </c>
      <c r="K22" s="5"/>
    </row>
    <row r="23" customFormat="false" ht="15" hidden="false" customHeight="false" outlineLevel="0" collapsed="false">
      <c r="A23" s="5" t="s">
        <v>17</v>
      </c>
      <c r="B23" s="3" t="n">
        <v>2</v>
      </c>
      <c r="C23" s="5" t="s">
        <v>140</v>
      </c>
      <c r="D23" s="5" t="s">
        <v>96</v>
      </c>
      <c r="E23" s="3" t="s">
        <v>97</v>
      </c>
      <c r="F23" s="5" t="s">
        <v>141</v>
      </c>
      <c r="G23" s="3" t="s">
        <v>142</v>
      </c>
      <c r="H23" s="3" t="n">
        <v>3</v>
      </c>
      <c r="I23" s="3" t="n">
        <v>0</v>
      </c>
      <c r="J23" s="7" t="s">
        <v>3</v>
      </c>
      <c r="K23" s="5"/>
    </row>
    <row r="24" customFormat="false" ht="15" hidden="false" customHeight="false" outlineLevel="0" collapsed="false">
      <c r="A24" s="5" t="s">
        <v>17</v>
      </c>
      <c r="B24" s="3" t="n">
        <v>3</v>
      </c>
      <c r="C24" s="5" t="s">
        <v>143</v>
      </c>
      <c r="D24" s="5" t="s">
        <v>96</v>
      </c>
      <c r="E24" s="3" t="s">
        <v>97</v>
      </c>
      <c r="F24" s="5" t="s">
        <v>52</v>
      </c>
      <c r="G24" s="3" t="s">
        <v>144</v>
      </c>
      <c r="H24" s="3" t="n">
        <v>3</v>
      </c>
      <c r="I24" s="3" t="n">
        <v>1</v>
      </c>
      <c r="J24" s="7" t="s">
        <v>3</v>
      </c>
      <c r="K24" s="5"/>
    </row>
    <row r="25" customFormat="false" ht="15" hidden="false" customHeight="false" outlineLevel="0" collapsed="false">
      <c r="A25" s="5" t="s">
        <v>17</v>
      </c>
      <c r="B25" s="3" t="n">
        <v>4</v>
      </c>
      <c r="C25" s="5" t="s">
        <v>145</v>
      </c>
      <c r="D25" s="5" t="s">
        <v>105</v>
      </c>
      <c r="E25" s="3" t="s">
        <v>40</v>
      </c>
      <c r="F25" s="5" t="s">
        <v>120</v>
      </c>
      <c r="G25" s="3" t="s">
        <v>144</v>
      </c>
      <c r="H25" s="3" t="n">
        <v>3</v>
      </c>
      <c r="I25" s="3" t="n">
        <v>1</v>
      </c>
      <c r="J25" s="7" t="s">
        <v>3</v>
      </c>
      <c r="K25" s="5"/>
    </row>
    <row r="26" customFormat="false" ht="15" hidden="false" customHeight="false" outlineLevel="0" collapsed="false">
      <c r="A26" s="5" t="s">
        <v>17</v>
      </c>
      <c r="B26" s="3" t="n">
        <v>5</v>
      </c>
      <c r="C26" s="5" t="s">
        <v>146</v>
      </c>
      <c r="D26" s="5" t="s">
        <v>105</v>
      </c>
      <c r="E26" s="3" t="s">
        <v>40</v>
      </c>
      <c r="F26" s="5" t="s">
        <v>59</v>
      </c>
      <c r="G26" s="3" t="s">
        <v>98</v>
      </c>
      <c r="H26" s="3" t="n">
        <v>1</v>
      </c>
      <c r="I26" s="3" t="n">
        <v>2</v>
      </c>
      <c r="J26" s="6" t="s">
        <v>5</v>
      </c>
      <c r="K26" s="5"/>
    </row>
    <row r="27" customFormat="false" ht="15" hidden="false" customHeight="false" outlineLevel="0" collapsed="false">
      <c r="A27" s="5" t="s">
        <v>17</v>
      </c>
      <c r="B27" s="3" t="n">
        <v>6</v>
      </c>
      <c r="C27" s="5" t="s">
        <v>147</v>
      </c>
      <c r="D27" s="5" t="s">
        <v>105</v>
      </c>
      <c r="E27" s="3" t="s">
        <v>97</v>
      </c>
      <c r="F27" s="5" t="s">
        <v>83</v>
      </c>
      <c r="G27" s="3" t="s">
        <v>144</v>
      </c>
      <c r="H27" s="3" t="n">
        <v>3</v>
      </c>
      <c r="I27" s="3" t="n">
        <v>1</v>
      </c>
      <c r="J27" s="7" t="s">
        <v>3</v>
      </c>
      <c r="K27" s="5"/>
    </row>
    <row r="28" customFormat="false" ht="15" hidden="false" customHeight="false" outlineLevel="0" collapsed="false">
      <c r="A28" s="5" t="s">
        <v>17</v>
      </c>
      <c r="B28" s="3" t="n">
        <v>7</v>
      </c>
      <c r="C28" s="5" t="s">
        <v>148</v>
      </c>
      <c r="D28" s="5" t="s">
        <v>105</v>
      </c>
      <c r="E28" s="3" t="s">
        <v>97</v>
      </c>
      <c r="F28" s="5" t="s">
        <v>54</v>
      </c>
      <c r="G28" s="3" t="s">
        <v>100</v>
      </c>
      <c r="H28" s="3" t="n">
        <v>2</v>
      </c>
      <c r="I28" s="3" t="n">
        <v>1</v>
      </c>
      <c r="J28" s="7" t="s">
        <v>3</v>
      </c>
      <c r="K28" s="5" t="s">
        <v>149</v>
      </c>
    </row>
    <row r="29" customFormat="false" ht="15" hidden="false" customHeight="false" outlineLevel="0" collapsed="false">
      <c r="A29" s="5" t="s">
        <v>17</v>
      </c>
      <c r="B29" s="3" t="n">
        <v>8</v>
      </c>
      <c r="C29" s="5" t="s">
        <v>150</v>
      </c>
      <c r="D29" s="5" t="s">
        <v>113</v>
      </c>
      <c r="E29" s="3" t="s">
        <v>40</v>
      </c>
      <c r="F29" s="5" t="s">
        <v>151</v>
      </c>
      <c r="G29" s="3" t="s">
        <v>144</v>
      </c>
      <c r="H29" s="3" t="n">
        <v>3</v>
      </c>
      <c r="I29" s="3" t="n">
        <v>1</v>
      </c>
      <c r="J29" s="7" t="s">
        <v>3</v>
      </c>
      <c r="K29" s="5"/>
    </row>
    <row r="30" customFormat="false" ht="15" hidden="false" customHeight="false" outlineLevel="0" collapsed="false">
      <c r="A30" s="5" t="s">
        <v>17</v>
      </c>
      <c r="B30" s="3" t="n">
        <v>9</v>
      </c>
      <c r="C30" s="5" t="s">
        <v>152</v>
      </c>
      <c r="D30" s="5" t="s">
        <v>113</v>
      </c>
      <c r="E30" s="3" t="s">
        <v>40</v>
      </c>
      <c r="F30" s="5" t="s">
        <v>153</v>
      </c>
      <c r="G30" s="3" t="s">
        <v>108</v>
      </c>
      <c r="H30" s="3" t="n">
        <v>4</v>
      </c>
      <c r="I30" s="3" t="n">
        <v>0</v>
      </c>
      <c r="J30" s="7" t="s">
        <v>3</v>
      </c>
      <c r="K30" s="5"/>
    </row>
    <row r="31" customFormat="false" ht="15" hidden="false" customHeight="false" outlineLevel="0" collapsed="false">
      <c r="A31" s="5" t="s">
        <v>17</v>
      </c>
      <c r="B31" s="3" t="n">
        <v>10</v>
      </c>
      <c r="C31" s="5" t="s">
        <v>119</v>
      </c>
      <c r="D31" s="5" t="s">
        <v>113</v>
      </c>
      <c r="E31" s="3" t="s">
        <v>40</v>
      </c>
      <c r="F31" s="5" t="s">
        <v>154</v>
      </c>
      <c r="G31" s="3" t="s">
        <v>137</v>
      </c>
      <c r="H31" s="3" t="n">
        <v>2</v>
      </c>
      <c r="I31" s="3" t="n">
        <v>2</v>
      </c>
      <c r="J31" s="8" t="s">
        <v>4</v>
      </c>
      <c r="K31" s="5"/>
    </row>
    <row r="32" customFormat="false" ht="15" hidden="false" customHeight="false" outlineLevel="0" collapsed="false">
      <c r="A32" s="5" t="s">
        <v>20</v>
      </c>
      <c r="B32" s="3" t="n">
        <v>1</v>
      </c>
      <c r="C32" s="5" t="s">
        <v>138</v>
      </c>
      <c r="D32" s="5" t="s">
        <v>96</v>
      </c>
      <c r="E32" s="3" t="s">
        <v>97</v>
      </c>
      <c r="F32" s="5" t="s">
        <v>57</v>
      </c>
      <c r="G32" s="3" t="s">
        <v>155</v>
      </c>
      <c r="H32" s="3" t="n">
        <v>1</v>
      </c>
      <c r="I32" s="3" t="n">
        <v>1</v>
      </c>
      <c r="J32" s="8" t="s">
        <v>4</v>
      </c>
      <c r="K32" s="5"/>
    </row>
    <row r="33" customFormat="false" ht="15" hidden="false" customHeight="false" outlineLevel="0" collapsed="false">
      <c r="A33" s="5" t="s">
        <v>20</v>
      </c>
      <c r="B33" s="3" t="n">
        <v>2</v>
      </c>
      <c r="C33" s="5" t="s">
        <v>99</v>
      </c>
      <c r="D33" s="5" t="s">
        <v>96</v>
      </c>
      <c r="E33" s="3" t="s">
        <v>97</v>
      </c>
      <c r="F33" s="5" t="s">
        <v>29</v>
      </c>
      <c r="G33" s="3" t="s">
        <v>156</v>
      </c>
      <c r="H33" s="3" t="n">
        <v>1</v>
      </c>
      <c r="I33" s="3" t="n">
        <v>5</v>
      </c>
      <c r="J33" s="6" t="s">
        <v>5</v>
      </c>
      <c r="K33" s="5"/>
    </row>
    <row r="34" customFormat="false" ht="15" hidden="false" customHeight="false" outlineLevel="0" collapsed="false">
      <c r="A34" s="5" t="s">
        <v>20</v>
      </c>
      <c r="B34" s="3" t="n">
        <v>3</v>
      </c>
      <c r="C34" s="5" t="s">
        <v>101</v>
      </c>
      <c r="D34" s="5" t="s">
        <v>96</v>
      </c>
      <c r="E34" s="3" t="s">
        <v>97</v>
      </c>
      <c r="F34" s="5" t="s">
        <v>157</v>
      </c>
      <c r="G34" s="3" t="s">
        <v>158</v>
      </c>
      <c r="H34" s="3" t="n">
        <v>5</v>
      </c>
      <c r="I34" s="3" t="n">
        <v>1</v>
      </c>
      <c r="J34" s="7" t="s">
        <v>3</v>
      </c>
      <c r="K34" s="5"/>
    </row>
    <row r="35" customFormat="false" ht="15" hidden="false" customHeight="false" outlineLevel="0" collapsed="false">
      <c r="A35" s="5" t="s">
        <v>20</v>
      </c>
      <c r="B35" s="3" t="n">
        <v>4</v>
      </c>
      <c r="C35" s="5" t="s">
        <v>146</v>
      </c>
      <c r="D35" s="5" t="s">
        <v>105</v>
      </c>
      <c r="E35" s="3" t="s">
        <v>24</v>
      </c>
      <c r="F35" s="5" t="s">
        <v>130</v>
      </c>
      <c r="G35" s="3" t="s">
        <v>137</v>
      </c>
      <c r="H35" s="3" t="n">
        <v>2</v>
      </c>
      <c r="I35" s="3" t="n">
        <v>2</v>
      </c>
      <c r="J35" s="8" t="s">
        <v>4</v>
      </c>
      <c r="K35" s="5"/>
    </row>
    <row r="36" customFormat="false" ht="15" hidden="false" customHeight="false" outlineLevel="0" collapsed="false">
      <c r="A36" s="5" t="s">
        <v>20</v>
      </c>
      <c r="B36" s="3" t="n">
        <v>5</v>
      </c>
      <c r="C36" s="5" t="s">
        <v>159</v>
      </c>
      <c r="D36" s="5" t="s">
        <v>105</v>
      </c>
      <c r="E36" s="3" t="s">
        <v>24</v>
      </c>
      <c r="F36" s="5" t="s">
        <v>61</v>
      </c>
      <c r="G36" s="3" t="s">
        <v>160</v>
      </c>
      <c r="H36" s="3" t="n">
        <v>1</v>
      </c>
      <c r="I36" s="3" t="n">
        <v>3</v>
      </c>
      <c r="J36" s="6" t="s">
        <v>5</v>
      </c>
      <c r="K36" s="5"/>
    </row>
    <row r="37" customFormat="false" ht="15" hidden="false" customHeight="false" outlineLevel="0" collapsed="false">
      <c r="A37" s="5" t="s">
        <v>20</v>
      </c>
      <c r="B37" s="3" t="n">
        <v>6</v>
      </c>
      <c r="C37" s="5" t="s">
        <v>129</v>
      </c>
      <c r="D37" s="5" t="s">
        <v>161</v>
      </c>
      <c r="E37" s="3" t="s">
        <v>40</v>
      </c>
      <c r="F37" s="5" t="s">
        <v>162</v>
      </c>
      <c r="G37" s="3" t="s">
        <v>163</v>
      </c>
      <c r="H37" s="3" t="n">
        <v>3</v>
      </c>
      <c r="I37" s="3" t="n">
        <v>2</v>
      </c>
      <c r="J37" s="7" t="s">
        <v>3</v>
      </c>
      <c r="K37" s="5"/>
    </row>
    <row r="38" customFormat="false" ht="15" hidden="false" customHeight="false" outlineLevel="0" collapsed="false">
      <c r="A38" s="5" t="s">
        <v>20</v>
      </c>
      <c r="B38" s="3" t="n">
        <v>7</v>
      </c>
      <c r="C38" s="5" t="s">
        <v>148</v>
      </c>
      <c r="D38" s="5" t="s">
        <v>164</v>
      </c>
      <c r="E38" s="3" t="s">
        <v>97</v>
      </c>
      <c r="F38" s="5" t="s">
        <v>153</v>
      </c>
      <c r="G38" s="3" t="s">
        <v>144</v>
      </c>
      <c r="H38" s="3" t="n">
        <v>3</v>
      </c>
      <c r="I38" s="3" t="n">
        <v>1</v>
      </c>
      <c r="J38" s="7" t="s">
        <v>3</v>
      </c>
      <c r="K38" s="5" t="s">
        <v>165</v>
      </c>
    </row>
    <row r="39" customFormat="false" ht="15" hidden="false" customHeight="false" outlineLevel="0" collapsed="false">
      <c r="A39" s="5" t="s">
        <v>20</v>
      </c>
      <c r="B39" s="3" t="n">
        <v>8</v>
      </c>
      <c r="C39" s="5" t="s">
        <v>131</v>
      </c>
      <c r="D39" s="5" t="s">
        <v>113</v>
      </c>
      <c r="E39" s="3" t="s">
        <v>24</v>
      </c>
      <c r="F39" s="5" t="s">
        <v>166</v>
      </c>
      <c r="G39" s="3" t="s">
        <v>155</v>
      </c>
      <c r="H39" s="3" t="n">
        <v>1</v>
      </c>
      <c r="I39" s="3" t="n">
        <v>1</v>
      </c>
      <c r="J39" s="8" t="s">
        <v>4</v>
      </c>
      <c r="K39" s="5"/>
    </row>
    <row r="40" customFormat="false" ht="15" hidden="false" customHeight="false" outlineLevel="0" collapsed="false">
      <c r="A40" s="5" t="s">
        <v>20</v>
      </c>
      <c r="B40" s="3" t="n">
        <v>9</v>
      </c>
      <c r="C40" s="5" t="s">
        <v>132</v>
      </c>
      <c r="D40" s="5" t="s">
        <v>113</v>
      </c>
      <c r="E40" s="3" t="s">
        <v>24</v>
      </c>
      <c r="F40" s="5" t="s">
        <v>79</v>
      </c>
      <c r="G40" s="3" t="s">
        <v>126</v>
      </c>
      <c r="H40" s="3" t="n">
        <v>1</v>
      </c>
      <c r="I40" s="3" t="n">
        <v>4</v>
      </c>
      <c r="J40" s="6" t="s">
        <v>5</v>
      </c>
      <c r="K40" s="5"/>
    </row>
    <row r="41" customFormat="false" ht="15" hidden="false" customHeight="false" outlineLevel="0" collapsed="false">
      <c r="A41" s="5" t="s">
        <v>20</v>
      </c>
      <c r="B41" s="3" t="n">
        <v>10</v>
      </c>
      <c r="C41" s="5" t="s">
        <v>119</v>
      </c>
      <c r="D41" s="5" t="s">
        <v>113</v>
      </c>
      <c r="E41" s="3" t="s">
        <v>40</v>
      </c>
      <c r="F41" s="5" t="s">
        <v>167</v>
      </c>
      <c r="G41" s="3" t="s">
        <v>168</v>
      </c>
      <c r="H41" s="3" t="n">
        <v>0</v>
      </c>
      <c r="I41" s="3" t="n">
        <v>1</v>
      </c>
      <c r="J41" s="6" t="s">
        <v>5</v>
      </c>
      <c r="K41" s="5" t="s">
        <v>169</v>
      </c>
    </row>
    <row r="42" customFormat="false" ht="15" hidden="false" customHeight="false" outlineLevel="0" collapsed="false">
      <c r="A42" s="5" t="s">
        <v>23</v>
      </c>
      <c r="B42" s="3" t="n">
        <v>1</v>
      </c>
      <c r="C42" s="5" t="s">
        <v>170</v>
      </c>
      <c r="D42" s="5" t="s">
        <v>96</v>
      </c>
      <c r="E42" s="3" t="s">
        <v>97</v>
      </c>
      <c r="F42" s="5" t="s">
        <v>134</v>
      </c>
      <c r="G42" s="3" t="s">
        <v>121</v>
      </c>
      <c r="H42" s="3" t="n">
        <v>1</v>
      </c>
      <c r="I42" s="3" t="n">
        <v>0</v>
      </c>
      <c r="J42" s="7" t="s">
        <v>3</v>
      </c>
      <c r="K42" s="5"/>
    </row>
    <row r="43" customFormat="false" ht="15" hidden="false" customHeight="false" outlineLevel="0" collapsed="false">
      <c r="A43" s="5" t="s">
        <v>23</v>
      </c>
      <c r="B43" s="3" t="n">
        <v>2</v>
      </c>
      <c r="C43" s="5" t="s">
        <v>171</v>
      </c>
      <c r="D43" s="5" t="s">
        <v>96</v>
      </c>
      <c r="E43" s="3" t="s">
        <v>97</v>
      </c>
      <c r="F43" s="5" t="s">
        <v>172</v>
      </c>
      <c r="G43" s="3" t="s">
        <v>155</v>
      </c>
      <c r="H43" s="3" t="n">
        <v>1</v>
      </c>
      <c r="I43" s="3" t="n">
        <v>1</v>
      </c>
      <c r="J43" s="8" t="s">
        <v>4</v>
      </c>
      <c r="K43" s="5"/>
    </row>
    <row r="44" customFormat="false" ht="15" hidden="false" customHeight="false" outlineLevel="0" collapsed="false">
      <c r="A44" s="5" t="s">
        <v>23</v>
      </c>
      <c r="B44" s="3" t="n">
        <v>3</v>
      </c>
      <c r="C44" s="5" t="s">
        <v>173</v>
      </c>
      <c r="D44" s="5" t="s">
        <v>96</v>
      </c>
      <c r="E44" s="3" t="s">
        <v>97</v>
      </c>
      <c r="F44" s="5" t="s">
        <v>63</v>
      </c>
      <c r="G44" s="3" t="s">
        <v>135</v>
      </c>
      <c r="H44" s="3" t="n">
        <v>0</v>
      </c>
      <c r="I44" s="3" t="n">
        <v>2</v>
      </c>
      <c r="J44" s="6" t="s">
        <v>5</v>
      </c>
      <c r="K44" s="5"/>
    </row>
    <row r="45" customFormat="false" ht="15" hidden="false" customHeight="false" outlineLevel="0" collapsed="false">
      <c r="A45" s="5" t="s">
        <v>23</v>
      </c>
      <c r="B45" s="3" t="n">
        <v>4</v>
      </c>
      <c r="C45" s="5" t="s">
        <v>104</v>
      </c>
      <c r="D45" s="5" t="s">
        <v>105</v>
      </c>
      <c r="E45" s="3" t="s">
        <v>97</v>
      </c>
      <c r="F45" s="5" t="s">
        <v>174</v>
      </c>
      <c r="G45" s="3" t="s">
        <v>155</v>
      </c>
      <c r="H45" s="3" t="n">
        <v>1</v>
      </c>
      <c r="I45" s="3" t="n">
        <v>1</v>
      </c>
      <c r="J45" s="8" t="s">
        <v>4</v>
      </c>
      <c r="K45" s="5" t="s">
        <v>175</v>
      </c>
    </row>
    <row r="46" customFormat="false" ht="15" hidden="false" customHeight="false" outlineLevel="0" collapsed="false">
      <c r="A46" s="5" t="s">
        <v>23</v>
      </c>
      <c r="B46" s="3" t="n">
        <v>5</v>
      </c>
      <c r="C46" s="5" t="s">
        <v>176</v>
      </c>
      <c r="D46" s="5" t="s">
        <v>105</v>
      </c>
      <c r="E46" s="3" t="s">
        <v>97</v>
      </c>
      <c r="F46" s="5" t="s">
        <v>128</v>
      </c>
      <c r="G46" s="3" t="s">
        <v>122</v>
      </c>
      <c r="H46" s="3" t="n">
        <v>0</v>
      </c>
      <c r="I46" s="3" t="n">
        <v>0</v>
      </c>
      <c r="J46" s="8" t="s">
        <v>4</v>
      </c>
      <c r="K46" s="5"/>
    </row>
    <row r="47" customFormat="false" ht="15" hidden="false" customHeight="false" outlineLevel="0" collapsed="false">
      <c r="A47" s="5" t="s">
        <v>23</v>
      </c>
      <c r="B47" s="3" t="n">
        <v>6</v>
      </c>
      <c r="C47" s="5" t="s">
        <v>129</v>
      </c>
      <c r="D47" s="5" t="s">
        <v>105</v>
      </c>
      <c r="E47" s="3" t="s">
        <v>97</v>
      </c>
      <c r="F47" s="5" t="s">
        <v>177</v>
      </c>
      <c r="G47" s="3" t="s">
        <v>98</v>
      </c>
      <c r="H47" s="3" t="n">
        <v>1</v>
      </c>
      <c r="I47" s="3" t="n">
        <v>2</v>
      </c>
      <c r="J47" s="6" t="s">
        <v>5</v>
      </c>
      <c r="K47" s="5"/>
    </row>
    <row r="48" customFormat="false" ht="15" hidden="false" customHeight="false" outlineLevel="0" collapsed="false">
      <c r="A48" s="5" t="s">
        <v>23</v>
      </c>
      <c r="B48" s="3" t="n">
        <v>7</v>
      </c>
      <c r="C48" s="5" t="s">
        <v>110</v>
      </c>
      <c r="D48" s="5" t="s">
        <v>105</v>
      </c>
      <c r="E48" s="3" t="s">
        <v>97</v>
      </c>
      <c r="F48" s="5" t="s">
        <v>177</v>
      </c>
      <c r="G48" s="3" t="s">
        <v>155</v>
      </c>
      <c r="H48" s="3" t="n">
        <v>1</v>
      </c>
      <c r="I48" s="3" t="n">
        <v>1</v>
      </c>
      <c r="J48" s="8" t="s">
        <v>4</v>
      </c>
      <c r="K48" s="5"/>
    </row>
    <row r="49" customFormat="false" ht="15" hidden="false" customHeight="false" outlineLevel="0" collapsed="false">
      <c r="A49" s="5" t="s">
        <v>23</v>
      </c>
      <c r="B49" s="3" t="n">
        <v>8</v>
      </c>
      <c r="C49" s="5" t="s">
        <v>178</v>
      </c>
      <c r="D49" s="5" t="s">
        <v>179</v>
      </c>
      <c r="E49" s="3" t="s">
        <v>97</v>
      </c>
      <c r="F49" s="5" t="s">
        <v>180</v>
      </c>
      <c r="G49" s="3" t="s">
        <v>98</v>
      </c>
      <c r="H49" s="3" t="n">
        <v>1</v>
      </c>
      <c r="I49" s="3" t="n">
        <v>2</v>
      </c>
      <c r="J49" s="6" t="s">
        <v>5</v>
      </c>
      <c r="K49" s="5"/>
    </row>
    <row r="50" customFormat="false" ht="15" hidden="false" customHeight="false" outlineLevel="0" collapsed="false">
      <c r="A50" s="5" t="s">
        <v>23</v>
      </c>
      <c r="B50" s="3" t="n">
        <v>9</v>
      </c>
      <c r="C50" s="5" t="s">
        <v>181</v>
      </c>
      <c r="D50" s="5" t="s">
        <v>182</v>
      </c>
      <c r="E50" s="3" t="s">
        <v>97</v>
      </c>
      <c r="F50" s="5" t="s">
        <v>183</v>
      </c>
      <c r="G50" s="3" t="s">
        <v>163</v>
      </c>
      <c r="H50" s="3" t="n">
        <v>3</v>
      </c>
      <c r="I50" s="3" t="n">
        <v>2</v>
      </c>
      <c r="J50" s="7" t="s">
        <v>3</v>
      </c>
      <c r="K50" s="5"/>
    </row>
    <row r="51" customFormat="false" ht="15" hidden="false" customHeight="false" outlineLevel="0" collapsed="false">
      <c r="A51" s="5" t="s">
        <v>23</v>
      </c>
      <c r="B51" s="3" t="n">
        <v>10</v>
      </c>
      <c r="C51" s="5" t="s">
        <v>184</v>
      </c>
      <c r="D51" s="5" t="s">
        <v>182</v>
      </c>
      <c r="E51" s="3" t="s">
        <v>97</v>
      </c>
      <c r="F51" s="5" t="s">
        <v>77</v>
      </c>
      <c r="G51" s="3" t="s">
        <v>168</v>
      </c>
      <c r="H51" s="3" t="n">
        <v>0</v>
      </c>
      <c r="I51" s="3" t="n">
        <v>1</v>
      </c>
      <c r="J51" s="6" t="s">
        <v>5</v>
      </c>
      <c r="K51" s="5"/>
    </row>
    <row r="52" customFormat="false" ht="15" hidden="false" customHeight="false" outlineLevel="0" collapsed="false">
      <c r="A52" s="5" t="s">
        <v>26</v>
      </c>
      <c r="B52" s="3" t="n">
        <v>1</v>
      </c>
      <c r="C52" s="5" t="s">
        <v>170</v>
      </c>
      <c r="D52" s="5" t="s">
        <v>96</v>
      </c>
      <c r="E52" s="3" t="s">
        <v>97</v>
      </c>
      <c r="F52" s="5" t="s">
        <v>79</v>
      </c>
      <c r="G52" s="3" t="s">
        <v>98</v>
      </c>
      <c r="H52" s="3" t="n">
        <v>1</v>
      </c>
      <c r="I52" s="3" t="n">
        <v>2</v>
      </c>
      <c r="J52" s="6" t="s">
        <v>5</v>
      </c>
      <c r="K52" s="5"/>
    </row>
    <row r="53" customFormat="false" ht="15" hidden="false" customHeight="false" outlineLevel="0" collapsed="false">
      <c r="A53" s="5" t="s">
        <v>26</v>
      </c>
      <c r="B53" s="3" t="n">
        <v>2</v>
      </c>
      <c r="C53" s="5" t="s">
        <v>171</v>
      </c>
      <c r="D53" s="5" t="s">
        <v>96</v>
      </c>
      <c r="E53" s="3" t="s">
        <v>97</v>
      </c>
      <c r="F53" s="5" t="s">
        <v>185</v>
      </c>
      <c r="G53" s="3" t="s">
        <v>115</v>
      </c>
      <c r="H53" s="3" t="n">
        <v>6</v>
      </c>
      <c r="I53" s="3" t="n">
        <v>0</v>
      </c>
      <c r="J53" s="7" t="s">
        <v>3</v>
      </c>
      <c r="K53" s="5"/>
    </row>
    <row r="54" customFormat="false" ht="15" hidden="false" customHeight="false" outlineLevel="0" collapsed="false">
      <c r="A54" s="5" t="s">
        <v>26</v>
      </c>
      <c r="B54" s="3" t="n">
        <v>3</v>
      </c>
      <c r="C54" s="5" t="s">
        <v>125</v>
      </c>
      <c r="D54" s="5" t="s">
        <v>96</v>
      </c>
      <c r="E54" s="3" t="s">
        <v>97</v>
      </c>
      <c r="F54" s="5" t="s">
        <v>47</v>
      </c>
      <c r="G54" s="3" t="s">
        <v>155</v>
      </c>
      <c r="H54" s="3" t="n">
        <v>1</v>
      </c>
      <c r="I54" s="3" t="n">
        <v>1</v>
      </c>
      <c r="J54" s="8" t="s">
        <v>4</v>
      </c>
      <c r="K54" s="5"/>
    </row>
    <row r="55" customFormat="false" ht="15" hidden="false" customHeight="false" outlineLevel="0" collapsed="false">
      <c r="A55" s="5" t="s">
        <v>26</v>
      </c>
      <c r="B55" s="3" t="n">
        <v>4</v>
      </c>
      <c r="C55" s="5" t="s">
        <v>127</v>
      </c>
      <c r="D55" s="5" t="s">
        <v>105</v>
      </c>
      <c r="E55" s="3" t="s">
        <v>24</v>
      </c>
      <c r="F55" s="5" t="s">
        <v>186</v>
      </c>
      <c r="G55" s="3" t="s">
        <v>155</v>
      </c>
      <c r="H55" s="3" t="n">
        <v>1</v>
      </c>
      <c r="I55" s="3" t="n">
        <v>1</v>
      </c>
      <c r="J55" s="8" t="s">
        <v>4</v>
      </c>
      <c r="K55" s="5"/>
    </row>
    <row r="56" customFormat="false" ht="15" hidden="false" customHeight="false" outlineLevel="0" collapsed="false">
      <c r="A56" s="5" t="s">
        <v>26</v>
      </c>
      <c r="B56" s="3" t="n">
        <v>5</v>
      </c>
      <c r="C56" s="5" t="s">
        <v>159</v>
      </c>
      <c r="D56" s="5" t="s">
        <v>105</v>
      </c>
      <c r="E56" s="3" t="s">
        <v>24</v>
      </c>
      <c r="F56" s="5" t="s">
        <v>187</v>
      </c>
      <c r="G56" s="3" t="s">
        <v>118</v>
      </c>
      <c r="H56" s="3" t="n">
        <v>2</v>
      </c>
      <c r="I56" s="3" t="n">
        <v>0</v>
      </c>
      <c r="J56" s="7" t="s">
        <v>3</v>
      </c>
      <c r="K56" s="5"/>
    </row>
    <row r="57" customFormat="false" ht="15" hidden="false" customHeight="false" outlineLevel="0" collapsed="false">
      <c r="A57" s="5" t="s">
        <v>26</v>
      </c>
      <c r="B57" s="3" t="n">
        <v>6</v>
      </c>
      <c r="C57" s="5" t="s">
        <v>129</v>
      </c>
      <c r="D57" s="5" t="s">
        <v>105</v>
      </c>
      <c r="E57" s="3" t="s">
        <v>24</v>
      </c>
      <c r="F57" s="5" t="s">
        <v>157</v>
      </c>
      <c r="G57" s="3" t="s">
        <v>122</v>
      </c>
      <c r="H57" s="3" t="n">
        <v>0</v>
      </c>
      <c r="I57" s="3" t="n">
        <v>0</v>
      </c>
      <c r="J57" s="8" t="s">
        <v>4</v>
      </c>
      <c r="K57" s="5"/>
    </row>
    <row r="58" customFormat="false" ht="15" hidden="false" customHeight="false" outlineLevel="0" collapsed="false">
      <c r="A58" s="5" t="s">
        <v>26</v>
      </c>
      <c r="B58" s="3" t="n">
        <v>7</v>
      </c>
      <c r="C58" s="5" t="s">
        <v>188</v>
      </c>
      <c r="D58" s="5" t="s">
        <v>105</v>
      </c>
      <c r="E58" s="3" t="s">
        <v>24</v>
      </c>
      <c r="F58" s="5" t="s">
        <v>154</v>
      </c>
      <c r="G58" s="3" t="s">
        <v>137</v>
      </c>
      <c r="H58" s="3" t="n">
        <v>2</v>
      </c>
      <c r="I58" s="3" t="n">
        <v>2</v>
      </c>
      <c r="J58" s="8" t="s">
        <v>4</v>
      </c>
      <c r="K58" s="5"/>
    </row>
    <row r="59" customFormat="false" ht="15" hidden="false" customHeight="false" outlineLevel="0" collapsed="false">
      <c r="A59" s="5" t="s">
        <v>26</v>
      </c>
      <c r="B59" s="3" t="n">
        <v>8</v>
      </c>
      <c r="C59" s="5" t="s">
        <v>189</v>
      </c>
      <c r="D59" s="5" t="s">
        <v>105</v>
      </c>
      <c r="E59" s="3" t="s">
        <v>24</v>
      </c>
      <c r="F59" s="5" t="s">
        <v>190</v>
      </c>
      <c r="G59" s="3" t="s">
        <v>121</v>
      </c>
      <c r="H59" s="3" t="n">
        <v>1</v>
      </c>
      <c r="I59" s="3" t="n">
        <v>0</v>
      </c>
      <c r="J59" s="7" t="s">
        <v>3</v>
      </c>
      <c r="K59" s="5"/>
    </row>
    <row r="60" customFormat="false" ht="15" hidden="false" customHeight="false" outlineLevel="0" collapsed="false">
      <c r="A60" s="5" t="s">
        <v>26</v>
      </c>
      <c r="B60" s="3" t="n">
        <v>9</v>
      </c>
      <c r="C60" s="5" t="s">
        <v>131</v>
      </c>
      <c r="D60" s="5" t="s">
        <v>105</v>
      </c>
      <c r="E60" s="3" t="s">
        <v>97</v>
      </c>
      <c r="F60" s="5" t="s">
        <v>191</v>
      </c>
      <c r="G60" s="3" t="s">
        <v>118</v>
      </c>
      <c r="H60" s="3" t="n">
        <v>2</v>
      </c>
      <c r="I60" s="3" t="n">
        <v>0</v>
      </c>
      <c r="J60" s="7" t="s">
        <v>3</v>
      </c>
      <c r="K60" s="5"/>
    </row>
    <row r="61" customFormat="false" ht="15" hidden="false" customHeight="false" outlineLevel="0" collapsed="false">
      <c r="A61" s="5" t="s">
        <v>26</v>
      </c>
      <c r="B61" s="3" t="n">
        <v>10</v>
      </c>
      <c r="C61" s="5" t="s">
        <v>152</v>
      </c>
      <c r="D61" s="5" t="s">
        <v>105</v>
      </c>
      <c r="E61" s="3" t="s">
        <v>40</v>
      </c>
      <c r="F61" s="5" t="s">
        <v>65</v>
      </c>
      <c r="G61" s="3" t="s">
        <v>122</v>
      </c>
      <c r="H61" s="3" t="n">
        <v>0</v>
      </c>
      <c r="I61" s="3" t="n">
        <v>0</v>
      </c>
      <c r="J61" s="8" t="s">
        <v>4</v>
      </c>
      <c r="K61" s="5"/>
    </row>
    <row r="62" customFormat="false" ht="15" hidden="false" customHeight="false" outlineLevel="0" collapsed="false">
      <c r="A62" s="5" t="s">
        <v>29</v>
      </c>
      <c r="B62" s="3" t="n">
        <v>1</v>
      </c>
      <c r="C62" s="5" t="s">
        <v>95</v>
      </c>
      <c r="D62" s="5" t="s">
        <v>96</v>
      </c>
      <c r="E62" s="3" t="s">
        <v>97</v>
      </c>
      <c r="F62" s="5" t="s">
        <v>157</v>
      </c>
      <c r="G62" s="3" t="s">
        <v>144</v>
      </c>
      <c r="H62" s="3" t="n">
        <v>3</v>
      </c>
      <c r="I62" s="3" t="n">
        <v>1</v>
      </c>
      <c r="J62" s="7" t="s">
        <v>3</v>
      </c>
      <c r="K62" s="5"/>
    </row>
    <row r="63" customFormat="false" ht="15" hidden="false" customHeight="false" outlineLevel="0" collapsed="false">
      <c r="A63" s="5" t="s">
        <v>29</v>
      </c>
      <c r="B63" s="3" t="n">
        <v>2</v>
      </c>
      <c r="C63" s="5" t="s">
        <v>99</v>
      </c>
      <c r="D63" s="5" t="s">
        <v>96</v>
      </c>
      <c r="E63" s="3" t="s">
        <v>97</v>
      </c>
      <c r="F63" s="5" t="s">
        <v>20</v>
      </c>
      <c r="G63" s="3" t="s">
        <v>158</v>
      </c>
      <c r="H63" s="3" t="n">
        <v>5</v>
      </c>
      <c r="I63" s="3" t="n">
        <v>1</v>
      </c>
      <c r="J63" s="7" t="s">
        <v>3</v>
      </c>
      <c r="K63" s="5"/>
    </row>
    <row r="64" customFormat="false" ht="15" hidden="false" customHeight="false" outlineLevel="0" collapsed="false">
      <c r="A64" s="5" t="s">
        <v>29</v>
      </c>
      <c r="B64" s="3" t="n">
        <v>3</v>
      </c>
      <c r="C64" s="5" t="s">
        <v>101</v>
      </c>
      <c r="D64" s="5" t="s">
        <v>96</v>
      </c>
      <c r="E64" s="3" t="s">
        <v>97</v>
      </c>
      <c r="F64" s="5" t="s">
        <v>57</v>
      </c>
      <c r="G64" s="3" t="s">
        <v>137</v>
      </c>
      <c r="H64" s="3" t="n">
        <v>2</v>
      </c>
      <c r="I64" s="3" t="n">
        <v>2</v>
      </c>
      <c r="J64" s="8" t="s">
        <v>4</v>
      </c>
      <c r="K64" s="5"/>
    </row>
    <row r="65" customFormat="false" ht="15" hidden="false" customHeight="false" outlineLevel="0" collapsed="false">
      <c r="A65" s="5" t="s">
        <v>29</v>
      </c>
      <c r="B65" s="3" t="n">
        <v>4</v>
      </c>
      <c r="C65" s="5" t="s">
        <v>145</v>
      </c>
      <c r="D65" s="5" t="s">
        <v>105</v>
      </c>
      <c r="E65" s="3" t="s">
        <v>97</v>
      </c>
      <c r="F65" s="5" t="s">
        <v>187</v>
      </c>
      <c r="G65" s="3" t="s">
        <v>100</v>
      </c>
      <c r="H65" s="3" t="n">
        <v>2</v>
      </c>
      <c r="I65" s="3" t="n">
        <v>1</v>
      </c>
      <c r="J65" s="7" t="s">
        <v>3</v>
      </c>
      <c r="K65" s="5"/>
    </row>
    <row r="66" customFormat="false" ht="15" hidden="false" customHeight="false" outlineLevel="0" collapsed="false">
      <c r="A66" s="5" t="s">
        <v>29</v>
      </c>
      <c r="B66" s="3" t="n">
        <v>5</v>
      </c>
      <c r="C66" s="5" t="s">
        <v>192</v>
      </c>
      <c r="D66" s="5" t="s">
        <v>105</v>
      </c>
      <c r="E66" s="3" t="s">
        <v>40</v>
      </c>
      <c r="F66" s="5" t="s">
        <v>81</v>
      </c>
      <c r="G66" s="3" t="s">
        <v>168</v>
      </c>
      <c r="H66" s="3" t="n">
        <v>0</v>
      </c>
      <c r="I66" s="3" t="n">
        <v>1</v>
      </c>
      <c r="J66" s="6" t="s">
        <v>5</v>
      </c>
      <c r="K66" s="5"/>
    </row>
    <row r="67" customFormat="false" ht="15" hidden="false" customHeight="false" outlineLevel="0" collapsed="false">
      <c r="A67" s="5" t="s">
        <v>29</v>
      </c>
      <c r="B67" s="3" t="n">
        <v>6</v>
      </c>
      <c r="C67" s="5" t="s">
        <v>129</v>
      </c>
      <c r="D67" s="5" t="s">
        <v>105</v>
      </c>
      <c r="E67" s="3" t="s">
        <v>40</v>
      </c>
      <c r="F67" s="5" t="s">
        <v>65</v>
      </c>
      <c r="G67" s="3" t="s">
        <v>155</v>
      </c>
      <c r="H67" s="3" t="n">
        <v>1</v>
      </c>
      <c r="I67" s="3" t="n">
        <v>1</v>
      </c>
      <c r="J67" s="8" t="s">
        <v>4</v>
      </c>
      <c r="K67" s="5"/>
    </row>
    <row r="68" customFormat="false" ht="15" hidden="false" customHeight="false" outlineLevel="0" collapsed="false">
      <c r="A68" s="5" t="s">
        <v>29</v>
      </c>
      <c r="B68" s="3" t="n">
        <v>7</v>
      </c>
      <c r="C68" s="5" t="s">
        <v>110</v>
      </c>
      <c r="D68" s="5" t="s">
        <v>105</v>
      </c>
      <c r="E68" s="3" t="s">
        <v>24</v>
      </c>
      <c r="F68" s="5" t="s">
        <v>61</v>
      </c>
      <c r="G68" s="3" t="s">
        <v>100</v>
      </c>
      <c r="H68" s="3" t="n">
        <v>2</v>
      </c>
      <c r="I68" s="3" t="n">
        <v>1</v>
      </c>
      <c r="J68" s="7" t="s">
        <v>3</v>
      </c>
      <c r="K68" s="5"/>
    </row>
    <row r="69" customFormat="false" ht="15" hidden="false" customHeight="false" outlineLevel="0" collapsed="false">
      <c r="A69" s="5" t="s">
        <v>29</v>
      </c>
      <c r="B69" s="3" t="n">
        <v>8</v>
      </c>
      <c r="C69" s="5" t="s">
        <v>112</v>
      </c>
      <c r="D69" s="5" t="s">
        <v>113</v>
      </c>
      <c r="E69" s="3" t="s">
        <v>40</v>
      </c>
      <c r="F69" s="5" t="s">
        <v>193</v>
      </c>
      <c r="G69" s="3" t="s">
        <v>108</v>
      </c>
      <c r="H69" s="3" t="n">
        <v>4</v>
      </c>
      <c r="I69" s="3" t="n">
        <v>0</v>
      </c>
      <c r="J69" s="7" t="s">
        <v>3</v>
      </c>
      <c r="K69" s="5"/>
    </row>
    <row r="70" customFormat="false" ht="15" hidden="false" customHeight="false" outlineLevel="0" collapsed="false">
      <c r="A70" s="5" t="s">
        <v>29</v>
      </c>
      <c r="B70" s="3" t="n">
        <v>9</v>
      </c>
      <c r="C70" s="5" t="s">
        <v>116</v>
      </c>
      <c r="D70" s="5" t="s">
        <v>113</v>
      </c>
      <c r="E70" s="3" t="s">
        <v>24</v>
      </c>
      <c r="F70" s="5" t="s">
        <v>162</v>
      </c>
      <c r="G70" s="3" t="s">
        <v>155</v>
      </c>
      <c r="H70" s="3" t="n">
        <v>1</v>
      </c>
      <c r="I70" s="3" t="n">
        <v>1</v>
      </c>
      <c r="J70" s="8" t="s">
        <v>4</v>
      </c>
      <c r="K70" s="5"/>
    </row>
    <row r="71" customFormat="false" ht="15" hidden="false" customHeight="false" outlineLevel="0" collapsed="false">
      <c r="A71" s="5" t="s">
        <v>29</v>
      </c>
      <c r="B71" s="3" t="n">
        <v>10</v>
      </c>
      <c r="C71" s="5" t="s">
        <v>194</v>
      </c>
      <c r="D71" s="5" t="s">
        <v>113</v>
      </c>
      <c r="E71" s="3" t="s">
        <v>40</v>
      </c>
      <c r="F71" s="5" t="s">
        <v>107</v>
      </c>
      <c r="G71" s="3" t="s">
        <v>108</v>
      </c>
      <c r="H71" s="3" t="n">
        <v>4</v>
      </c>
      <c r="I71" s="3" t="n">
        <v>0</v>
      </c>
      <c r="J71" s="7" t="s">
        <v>3</v>
      </c>
      <c r="K71" s="5"/>
    </row>
    <row r="72" customFormat="false" ht="15" hidden="false" customHeight="false" outlineLevel="0" collapsed="false">
      <c r="A72" s="5" t="s">
        <v>31</v>
      </c>
      <c r="B72" s="3" t="n">
        <v>1</v>
      </c>
      <c r="C72" s="5" t="s">
        <v>170</v>
      </c>
      <c r="D72" s="5" t="s">
        <v>96</v>
      </c>
      <c r="E72" s="3" t="s">
        <v>97</v>
      </c>
      <c r="F72" s="5" t="s">
        <v>195</v>
      </c>
      <c r="G72" s="3" t="s">
        <v>196</v>
      </c>
      <c r="H72" s="3" t="n">
        <v>4</v>
      </c>
      <c r="I72" s="3" t="n">
        <v>2</v>
      </c>
      <c r="J72" s="7" t="s">
        <v>3</v>
      </c>
      <c r="K72" s="5"/>
    </row>
    <row r="73" customFormat="false" ht="15" hidden="false" customHeight="false" outlineLevel="0" collapsed="false">
      <c r="A73" s="5" t="s">
        <v>31</v>
      </c>
      <c r="B73" s="3" t="n">
        <v>2</v>
      </c>
      <c r="C73" s="5" t="s">
        <v>123</v>
      </c>
      <c r="D73" s="5" t="s">
        <v>96</v>
      </c>
      <c r="E73" s="3" t="s">
        <v>97</v>
      </c>
      <c r="F73" s="5" t="s">
        <v>197</v>
      </c>
      <c r="G73" s="3" t="s">
        <v>121</v>
      </c>
      <c r="H73" s="3" t="n">
        <v>1</v>
      </c>
      <c r="I73" s="3" t="n">
        <v>0</v>
      </c>
      <c r="J73" s="7" t="s">
        <v>3</v>
      </c>
      <c r="K73" s="5"/>
    </row>
    <row r="74" customFormat="false" ht="15" hidden="false" customHeight="false" outlineLevel="0" collapsed="false">
      <c r="A74" s="5" t="s">
        <v>31</v>
      </c>
      <c r="B74" s="3" t="n">
        <v>3</v>
      </c>
      <c r="C74" s="5" t="s">
        <v>198</v>
      </c>
      <c r="D74" s="5" t="s">
        <v>96</v>
      </c>
      <c r="E74" s="3" t="s">
        <v>97</v>
      </c>
      <c r="F74" s="5" t="s">
        <v>54</v>
      </c>
      <c r="G74" s="3" t="s">
        <v>155</v>
      </c>
      <c r="H74" s="3" t="n">
        <v>1</v>
      </c>
      <c r="I74" s="3" t="n">
        <v>1</v>
      </c>
      <c r="J74" s="8" t="s">
        <v>4</v>
      </c>
      <c r="K74" s="5"/>
    </row>
    <row r="75" customFormat="false" ht="15" hidden="false" customHeight="false" outlineLevel="0" collapsed="false">
      <c r="A75" s="5" t="s">
        <v>31</v>
      </c>
      <c r="B75" s="3" t="n">
        <v>4</v>
      </c>
      <c r="C75" s="5" t="s">
        <v>199</v>
      </c>
      <c r="D75" s="5" t="s">
        <v>105</v>
      </c>
      <c r="E75" s="3" t="s">
        <v>97</v>
      </c>
      <c r="F75" s="5" t="s">
        <v>61</v>
      </c>
      <c r="G75" s="3" t="s">
        <v>155</v>
      </c>
      <c r="H75" s="3" t="n">
        <v>1</v>
      </c>
      <c r="I75" s="3" t="n">
        <v>1</v>
      </c>
      <c r="J75" s="8" t="s">
        <v>4</v>
      </c>
      <c r="K75" s="5"/>
    </row>
    <row r="76" customFormat="false" ht="15" hidden="false" customHeight="false" outlineLevel="0" collapsed="false">
      <c r="A76" s="5" t="s">
        <v>31</v>
      </c>
      <c r="B76" s="3" t="n">
        <v>5</v>
      </c>
      <c r="C76" s="5" t="s">
        <v>200</v>
      </c>
      <c r="D76" s="5" t="s">
        <v>105</v>
      </c>
      <c r="E76" s="3" t="s">
        <v>40</v>
      </c>
      <c r="F76" s="5" t="s">
        <v>201</v>
      </c>
      <c r="G76" s="3" t="s">
        <v>108</v>
      </c>
      <c r="H76" s="3" t="n">
        <v>4</v>
      </c>
      <c r="I76" s="3" t="n">
        <v>0</v>
      </c>
      <c r="J76" s="7" t="s">
        <v>3</v>
      </c>
      <c r="K76" s="5"/>
    </row>
    <row r="77" customFormat="false" ht="15" hidden="false" customHeight="false" outlineLevel="0" collapsed="false">
      <c r="A77" s="5" t="s">
        <v>31</v>
      </c>
      <c r="B77" s="3" t="n">
        <v>6</v>
      </c>
      <c r="C77" s="5" t="s">
        <v>129</v>
      </c>
      <c r="D77" s="5" t="s">
        <v>105</v>
      </c>
      <c r="E77" s="3" t="s">
        <v>97</v>
      </c>
      <c r="F77" s="5" t="s">
        <v>15</v>
      </c>
      <c r="G77" s="3" t="s">
        <v>100</v>
      </c>
      <c r="H77" s="3" t="n">
        <v>2</v>
      </c>
      <c r="I77" s="3" t="n">
        <v>1</v>
      </c>
      <c r="J77" s="7" t="s">
        <v>3</v>
      </c>
      <c r="K77" s="5"/>
    </row>
    <row r="78" customFormat="false" ht="15" hidden="false" customHeight="false" outlineLevel="0" collapsed="false">
      <c r="A78" s="5" t="s">
        <v>31</v>
      </c>
      <c r="B78" s="3" t="n">
        <v>7</v>
      </c>
      <c r="C78" s="5" t="s">
        <v>110</v>
      </c>
      <c r="D78" s="5" t="s">
        <v>105</v>
      </c>
      <c r="E78" s="3" t="s">
        <v>97</v>
      </c>
      <c r="F78" s="5" t="s">
        <v>65</v>
      </c>
      <c r="G78" s="3" t="s">
        <v>155</v>
      </c>
      <c r="H78" s="3" t="n">
        <v>1</v>
      </c>
      <c r="I78" s="3" t="n">
        <v>1</v>
      </c>
      <c r="J78" s="8" t="s">
        <v>4</v>
      </c>
      <c r="K78" s="5"/>
    </row>
    <row r="79" customFormat="false" ht="15" hidden="false" customHeight="false" outlineLevel="0" collapsed="false">
      <c r="A79" s="5" t="s">
        <v>31</v>
      </c>
      <c r="B79" s="3" t="n">
        <v>8</v>
      </c>
      <c r="C79" s="5" t="s">
        <v>202</v>
      </c>
      <c r="D79" s="5" t="s">
        <v>203</v>
      </c>
      <c r="E79" s="3" t="s">
        <v>97</v>
      </c>
      <c r="F79" s="5" t="s">
        <v>52</v>
      </c>
      <c r="G79" s="3" t="s">
        <v>168</v>
      </c>
      <c r="H79" s="3" t="n">
        <v>0</v>
      </c>
      <c r="I79" s="3" t="n">
        <v>1</v>
      </c>
      <c r="J79" s="6" t="s">
        <v>5</v>
      </c>
      <c r="K79" s="5" t="s">
        <v>204</v>
      </c>
    </row>
    <row r="80" customFormat="false" ht="15" hidden="false" customHeight="false" outlineLevel="0" collapsed="false">
      <c r="A80" s="5" t="s">
        <v>31</v>
      </c>
      <c r="B80" s="3" t="n">
        <v>9</v>
      </c>
      <c r="C80" s="5" t="s">
        <v>205</v>
      </c>
      <c r="D80" s="5" t="s">
        <v>206</v>
      </c>
      <c r="E80" s="3" t="s">
        <v>97</v>
      </c>
      <c r="F80" s="5" t="s">
        <v>207</v>
      </c>
      <c r="G80" s="3" t="s">
        <v>122</v>
      </c>
      <c r="H80" s="3" t="n">
        <v>0</v>
      </c>
      <c r="I80" s="3" t="n">
        <v>0</v>
      </c>
      <c r="J80" s="7" t="s">
        <v>3</v>
      </c>
      <c r="K80" s="5" t="s">
        <v>208</v>
      </c>
    </row>
    <row r="81" customFormat="false" ht="15" hidden="false" customHeight="false" outlineLevel="0" collapsed="false">
      <c r="A81" s="5" t="s">
        <v>31</v>
      </c>
      <c r="B81" s="3" t="n">
        <v>10</v>
      </c>
      <c r="C81" s="5" t="s">
        <v>209</v>
      </c>
      <c r="D81" s="5" t="s">
        <v>210</v>
      </c>
      <c r="E81" s="3" t="s">
        <v>97</v>
      </c>
      <c r="F81" s="5" t="s">
        <v>180</v>
      </c>
      <c r="G81" s="3" t="s">
        <v>118</v>
      </c>
      <c r="H81" s="3" t="n">
        <v>2</v>
      </c>
      <c r="I81" s="3" t="n">
        <v>0</v>
      </c>
      <c r="J81" s="7" t="s">
        <v>3</v>
      </c>
      <c r="K81" s="5"/>
    </row>
    <row r="82" customFormat="false" ht="15" hidden="false" customHeight="false" outlineLevel="0" collapsed="false">
      <c r="A82" s="5" t="s">
        <v>34</v>
      </c>
      <c r="B82" s="3" t="n">
        <v>1</v>
      </c>
      <c r="C82" s="5" t="s">
        <v>211</v>
      </c>
      <c r="D82" s="5" t="s">
        <v>96</v>
      </c>
      <c r="E82" s="3" t="s">
        <v>97</v>
      </c>
      <c r="F82" s="5" t="s">
        <v>83</v>
      </c>
      <c r="G82" s="3" t="s">
        <v>122</v>
      </c>
      <c r="H82" s="3" t="n">
        <v>0</v>
      </c>
      <c r="I82" s="3" t="n">
        <v>0</v>
      </c>
      <c r="J82" s="8" t="s">
        <v>4</v>
      </c>
      <c r="K82" s="5"/>
    </row>
    <row r="83" customFormat="false" ht="15" hidden="false" customHeight="false" outlineLevel="0" collapsed="false">
      <c r="A83" s="5" t="s">
        <v>34</v>
      </c>
      <c r="B83" s="3" t="n">
        <v>2</v>
      </c>
      <c r="C83" s="5" t="s">
        <v>212</v>
      </c>
      <c r="D83" s="5" t="s">
        <v>96</v>
      </c>
      <c r="E83" s="3" t="s">
        <v>97</v>
      </c>
      <c r="F83" s="5" t="s">
        <v>187</v>
      </c>
      <c r="G83" s="3" t="s">
        <v>213</v>
      </c>
      <c r="H83" s="3" t="n">
        <v>5</v>
      </c>
      <c r="I83" s="3" t="n">
        <v>0</v>
      </c>
      <c r="J83" s="7" t="s">
        <v>3</v>
      </c>
      <c r="K83" s="5"/>
    </row>
    <row r="84" customFormat="false" ht="15" hidden="false" customHeight="false" outlineLevel="0" collapsed="false">
      <c r="A84" s="5" t="s">
        <v>34</v>
      </c>
      <c r="B84" s="3" t="n">
        <v>3</v>
      </c>
      <c r="C84" s="5" t="s">
        <v>214</v>
      </c>
      <c r="D84" s="5" t="s">
        <v>96</v>
      </c>
      <c r="E84" s="3" t="s">
        <v>97</v>
      </c>
      <c r="F84" s="5" t="s">
        <v>69</v>
      </c>
      <c r="G84" s="3" t="s">
        <v>155</v>
      </c>
      <c r="H84" s="3" t="n">
        <v>1</v>
      </c>
      <c r="I84" s="3" t="n">
        <v>1</v>
      </c>
      <c r="J84" s="8" t="s">
        <v>4</v>
      </c>
      <c r="K84" s="5"/>
    </row>
    <row r="85" customFormat="false" ht="15" hidden="false" customHeight="false" outlineLevel="0" collapsed="false">
      <c r="A85" s="5" t="s">
        <v>34</v>
      </c>
      <c r="B85" s="3" t="n">
        <v>4</v>
      </c>
      <c r="C85" s="5" t="s">
        <v>129</v>
      </c>
      <c r="D85" s="5" t="s">
        <v>105</v>
      </c>
      <c r="E85" s="3" t="s">
        <v>97</v>
      </c>
      <c r="F85" s="5" t="s">
        <v>45</v>
      </c>
      <c r="G85" s="3" t="s">
        <v>118</v>
      </c>
      <c r="H85" s="3" t="n">
        <v>2</v>
      </c>
      <c r="I85" s="3" t="n">
        <v>0</v>
      </c>
      <c r="J85" s="7" t="s">
        <v>3</v>
      </c>
      <c r="K85" s="5" t="s">
        <v>215</v>
      </c>
    </row>
    <row r="86" customFormat="false" ht="15" hidden="false" customHeight="false" outlineLevel="0" collapsed="false">
      <c r="A86" s="5" t="s">
        <v>34</v>
      </c>
      <c r="B86" s="3" t="n">
        <v>5</v>
      </c>
      <c r="C86" s="5" t="s">
        <v>188</v>
      </c>
      <c r="D86" s="5" t="s">
        <v>105</v>
      </c>
      <c r="E86" s="3" t="s">
        <v>24</v>
      </c>
      <c r="F86" s="5" t="s">
        <v>63</v>
      </c>
      <c r="G86" s="3" t="s">
        <v>122</v>
      </c>
      <c r="H86" s="3" t="n">
        <v>0</v>
      </c>
      <c r="I86" s="3" t="n">
        <v>0</v>
      </c>
      <c r="J86" s="8" t="s">
        <v>4</v>
      </c>
      <c r="K86" s="5"/>
    </row>
    <row r="87" customFormat="false" ht="15" hidden="false" customHeight="false" outlineLevel="0" collapsed="false">
      <c r="A87" s="5" t="s">
        <v>34</v>
      </c>
      <c r="B87" s="3" t="n">
        <v>6</v>
      </c>
      <c r="C87" s="5" t="s">
        <v>150</v>
      </c>
      <c r="D87" s="5" t="s">
        <v>113</v>
      </c>
      <c r="E87" s="3" t="s">
        <v>24</v>
      </c>
      <c r="F87" s="5" t="s">
        <v>216</v>
      </c>
      <c r="G87" s="3" t="s">
        <v>217</v>
      </c>
      <c r="H87" s="3" t="n">
        <v>9</v>
      </c>
      <c r="I87" s="3" t="n">
        <v>1</v>
      </c>
      <c r="J87" s="7" t="s">
        <v>3</v>
      </c>
      <c r="K87" s="5"/>
    </row>
    <row r="88" customFormat="false" ht="15" hidden="false" customHeight="false" outlineLevel="0" collapsed="false">
      <c r="A88" s="5" t="s">
        <v>34</v>
      </c>
      <c r="B88" s="3" t="n">
        <v>7</v>
      </c>
      <c r="C88" s="5" t="s">
        <v>152</v>
      </c>
      <c r="D88" s="5" t="s">
        <v>113</v>
      </c>
      <c r="E88" s="3" t="s">
        <v>24</v>
      </c>
      <c r="F88" s="5" t="s">
        <v>186</v>
      </c>
      <c r="G88" s="3" t="s">
        <v>135</v>
      </c>
      <c r="H88" s="3" t="n">
        <v>0</v>
      </c>
      <c r="I88" s="3" t="n">
        <v>2</v>
      </c>
      <c r="J88" s="6" t="s">
        <v>5</v>
      </c>
      <c r="K88" s="5" t="s">
        <v>218</v>
      </c>
    </row>
    <row r="89" customFormat="false" ht="15" hidden="false" customHeight="false" outlineLevel="0" collapsed="false">
      <c r="A89" s="5" t="s">
        <v>34</v>
      </c>
      <c r="B89" s="3" t="n">
        <v>8</v>
      </c>
      <c r="C89" s="5" t="s">
        <v>133</v>
      </c>
      <c r="D89" s="5" t="s">
        <v>113</v>
      </c>
      <c r="E89" s="3" t="s">
        <v>40</v>
      </c>
      <c r="F89" s="5" t="s">
        <v>219</v>
      </c>
      <c r="G89" s="3" t="s">
        <v>137</v>
      </c>
      <c r="H89" s="3" t="n">
        <v>2</v>
      </c>
      <c r="I89" s="3" t="n">
        <v>2</v>
      </c>
      <c r="J89" s="8" t="s">
        <v>4</v>
      </c>
      <c r="K89" s="5"/>
    </row>
    <row r="90" customFormat="false" ht="15" hidden="false" customHeight="false" outlineLevel="0" collapsed="false">
      <c r="A90" s="5" t="s">
        <v>34</v>
      </c>
      <c r="B90" s="3" t="n">
        <v>9</v>
      </c>
      <c r="C90" s="5" t="s">
        <v>220</v>
      </c>
      <c r="D90" s="5" t="s">
        <v>113</v>
      </c>
      <c r="E90" s="3" t="s">
        <v>40</v>
      </c>
      <c r="F90" s="5" t="s">
        <v>186</v>
      </c>
      <c r="G90" s="3" t="s">
        <v>121</v>
      </c>
      <c r="H90" s="3" t="n">
        <v>1</v>
      </c>
      <c r="I90" s="3" t="n">
        <v>0</v>
      </c>
      <c r="J90" s="7" t="s">
        <v>3</v>
      </c>
      <c r="K90" s="5"/>
    </row>
    <row r="91" customFormat="false" ht="15" hidden="false" customHeight="false" outlineLevel="0" collapsed="false">
      <c r="A91" s="5" t="s">
        <v>34</v>
      </c>
      <c r="B91" s="3" t="n">
        <v>10</v>
      </c>
      <c r="C91" s="5" t="s">
        <v>221</v>
      </c>
      <c r="D91" s="5" t="s">
        <v>113</v>
      </c>
      <c r="E91" s="3" t="s">
        <v>24</v>
      </c>
      <c r="F91" s="5" t="s">
        <v>219</v>
      </c>
      <c r="G91" s="3" t="s">
        <v>163</v>
      </c>
      <c r="H91" s="3" t="n">
        <v>3</v>
      </c>
      <c r="I91" s="3" t="n">
        <v>2</v>
      </c>
      <c r="J91" s="7" t="s">
        <v>3</v>
      </c>
      <c r="K91" s="5"/>
    </row>
    <row r="92" customFormat="false" ht="15" hidden="false" customHeight="false" outlineLevel="0" collapsed="false">
      <c r="A92" s="5" t="s">
        <v>37</v>
      </c>
      <c r="B92" s="3" t="n">
        <v>1</v>
      </c>
      <c r="C92" s="5" t="s">
        <v>211</v>
      </c>
      <c r="D92" s="5" t="s">
        <v>96</v>
      </c>
      <c r="E92" s="3" t="s">
        <v>97</v>
      </c>
      <c r="F92" s="5" t="s">
        <v>85</v>
      </c>
      <c r="G92" s="3" t="s">
        <v>100</v>
      </c>
      <c r="H92" s="3" t="n">
        <v>2</v>
      </c>
      <c r="I92" s="3" t="n">
        <v>1</v>
      </c>
      <c r="J92" s="7" t="s">
        <v>3</v>
      </c>
      <c r="K92" s="5"/>
    </row>
    <row r="93" customFormat="false" ht="15" hidden="false" customHeight="false" outlineLevel="0" collapsed="false">
      <c r="A93" s="5" t="s">
        <v>37</v>
      </c>
      <c r="B93" s="3" t="n">
        <v>2</v>
      </c>
      <c r="C93" s="5" t="s">
        <v>212</v>
      </c>
      <c r="D93" s="5" t="s">
        <v>96</v>
      </c>
      <c r="E93" s="3" t="s">
        <v>97</v>
      </c>
      <c r="F93" s="5" t="s">
        <v>177</v>
      </c>
      <c r="G93" s="3" t="s">
        <v>121</v>
      </c>
      <c r="H93" s="3" t="n">
        <v>1</v>
      </c>
      <c r="I93" s="3" t="n">
        <v>0</v>
      </c>
      <c r="J93" s="7" t="s">
        <v>3</v>
      </c>
      <c r="K93" s="5"/>
    </row>
    <row r="94" customFormat="false" ht="15" hidden="false" customHeight="false" outlineLevel="0" collapsed="false">
      <c r="A94" s="5" t="s">
        <v>37</v>
      </c>
      <c r="B94" s="3" t="n">
        <v>3</v>
      </c>
      <c r="C94" s="5" t="s">
        <v>214</v>
      </c>
      <c r="D94" s="5" t="s">
        <v>96</v>
      </c>
      <c r="E94" s="3" t="s">
        <v>97</v>
      </c>
      <c r="F94" s="5" t="s">
        <v>67</v>
      </c>
      <c r="G94" s="3" t="s">
        <v>222</v>
      </c>
      <c r="H94" s="3" t="n">
        <v>2</v>
      </c>
      <c r="I94" s="3" t="n">
        <v>4</v>
      </c>
      <c r="J94" s="6" t="s">
        <v>5</v>
      </c>
      <c r="K94" s="5"/>
    </row>
    <row r="95" customFormat="false" ht="15" hidden="false" customHeight="false" outlineLevel="0" collapsed="false">
      <c r="A95" s="5" t="s">
        <v>37</v>
      </c>
      <c r="B95" s="3" t="n">
        <v>4</v>
      </c>
      <c r="C95" s="5" t="s">
        <v>199</v>
      </c>
      <c r="D95" s="5" t="s">
        <v>105</v>
      </c>
      <c r="E95" s="3" t="s">
        <v>40</v>
      </c>
      <c r="F95" s="5" t="s">
        <v>166</v>
      </c>
      <c r="G95" s="3" t="s">
        <v>100</v>
      </c>
      <c r="H95" s="3" t="n">
        <v>2</v>
      </c>
      <c r="I95" s="3" t="n">
        <v>1</v>
      </c>
      <c r="J95" s="7" t="s">
        <v>3</v>
      </c>
      <c r="K95" s="5"/>
    </row>
    <row r="96" customFormat="false" ht="15" hidden="false" customHeight="false" outlineLevel="0" collapsed="false">
      <c r="A96" s="5" t="s">
        <v>37</v>
      </c>
      <c r="B96" s="3" t="n">
        <v>5</v>
      </c>
      <c r="C96" s="5" t="s">
        <v>200</v>
      </c>
      <c r="D96" s="5" t="s">
        <v>105</v>
      </c>
      <c r="E96" s="3" t="s">
        <v>40</v>
      </c>
      <c r="F96" s="5" t="s">
        <v>49</v>
      </c>
      <c r="G96" s="3" t="s">
        <v>135</v>
      </c>
      <c r="H96" s="3" t="n">
        <v>0</v>
      </c>
      <c r="I96" s="3" t="n">
        <v>2</v>
      </c>
      <c r="J96" s="6" t="s">
        <v>5</v>
      </c>
      <c r="K96" s="5" t="s">
        <v>223</v>
      </c>
    </row>
    <row r="97" customFormat="false" ht="15" hidden="false" customHeight="false" outlineLevel="0" collapsed="false">
      <c r="A97" s="5" t="s">
        <v>37</v>
      </c>
      <c r="B97" s="3" t="n">
        <v>6</v>
      </c>
      <c r="C97" s="5" t="s">
        <v>129</v>
      </c>
      <c r="D97" s="5" t="s">
        <v>105</v>
      </c>
      <c r="E97" s="3" t="s">
        <v>97</v>
      </c>
      <c r="F97" s="5" t="s">
        <v>54</v>
      </c>
      <c r="G97" s="3" t="s">
        <v>160</v>
      </c>
      <c r="H97" s="3" t="n">
        <v>1</v>
      </c>
      <c r="I97" s="3" t="n">
        <v>3</v>
      </c>
      <c r="J97" s="6" t="s">
        <v>5</v>
      </c>
      <c r="K97" s="5"/>
    </row>
    <row r="98" customFormat="false" ht="15" hidden="false" customHeight="false" outlineLevel="0" collapsed="false">
      <c r="A98" s="5" t="s">
        <v>37</v>
      </c>
      <c r="B98" s="3" t="n">
        <v>7</v>
      </c>
      <c r="C98" s="5" t="s">
        <v>148</v>
      </c>
      <c r="D98" s="5" t="s">
        <v>105</v>
      </c>
      <c r="E98" s="3" t="s">
        <v>97</v>
      </c>
      <c r="F98" s="5" t="s">
        <v>83</v>
      </c>
      <c r="G98" s="3" t="s">
        <v>100</v>
      </c>
      <c r="H98" s="3" t="n">
        <v>2</v>
      </c>
      <c r="I98" s="3" t="n">
        <v>1</v>
      </c>
      <c r="J98" s="7" t="s">
        <v>3</v>
      </c>
      <c r="K98" s="5"/>
    </row>
    <row r="99" customFormat="false" ht="15" hidden="false" customHeight="false" outlineLevel="0" collapsed="false">
      <c r="A99" s="5" t="s">
        <v>37</v>
      </c>
      <c r="B99" s="3" t="n">
        <v>8</v>
      </c>
      <c r="C99" s="5" t="s">
        <v>112</v>
      </c>
      <c r="D99" s="5" t="s">
        <v>113</v>
      </c>
      <c r="E99" s="3" t="s">
        <v>24</v>
      </c>
      <c r="F99" s="5" t="s">
        <v>224</v>
      </c>
      <c r="G99" s="3" t="s">
        <v>163</v>
      </c>
      <c r="H99" s="3" t="n">
        <v>3</v>
      </c>
      <c r="I99" s="3" t="n">
        <v>2</v>
      </c>
      <c r="J99" s="7" t="s">
        <v>3</v>
      </c>
      <c r="K99" s="5"/>
    </row>
    <row r="100" customFormat="false" ht="15" hidden="false" customHeight="false" outlineLevel="0" collapsed="false">
      <c r="A100" s="5" t="s">
        <v>37</v>
      </c>
      <c r="B100" s="3" t="n">
        <v>9</v>
      </c>
      <c r="C100" s="5" t="s">
        <v>116</v>
      </c>
      <c r="D100" s="5" t="s">
        <v>113</v>
      </c>
      <c r="E100" s="3" t="s">
        <v>40</v>
      </c>
      <c r="F100" s="5" t="s">
        <v>225</v>
      </c>
      <c r="G100" s="3" t="s">
        <v>144</v>
      </c>
      <c r="H100" s="3" t="n">
        <v>3</v>
      </c>
      <c r="I100" s="3" t="n">
        <v>1</v>
      </c>
      <c r="J100" s="7" t="s">
        <v>3</v>
      </c>
      <c r="K100" s="5"/>
    </row>
    <row r="101" customFormat="false" ht="15" hidden="false" customHeight="false" outlineLevel="0" collapsed="false">
      <c r="A101" s="5" t="s">
        <v>37</v>
      </c>
      <c r="B101" s="3" t="n">
        <v>10</v>
      </c>
      <c r="C101" s="5" t="s">
        <v>194</v>
      </c>
      <c r="D101" s="5" t="s">
        <v>113</v>
      </c>
      <c r="E101" s="3" t="s">
        <v>40</v>
      </c>
      <c r="F101" s="5" t="s">
        <v>226</v>
      </c>
      <c r="G101" s="3" t="s">
        <v>142</v>
      </c>
      <c r="H101" s="3" t="n">
        <v>3</v>
      </c>
      <c r="I101" s="3" t="n">
        <v>0</v>
      </c>
      <c r="J101" s="7" t="s">
        <v>3</v>
      </c>
      <c r="K101" s="5"/>
    </row>
    <row r="102" customFormat="false" ht="15" hidden="false" customHeight="false" outlineLevel="0" collapsed="false">
      <c r="A102" s="5" t="s">
        <v>39</v>
      </c>
      <c r="B102" s="3" t="n">
        <v>1</v>
      </c>
      <c r="C102" s="5" t="s">
        <v>138</v>
      </c>
      <c r="D102" s="5" t="s">
        <v>96</v>
      </c>
      <c r="E102" s="3" t="s">
        <v>97</v>
      </c>
      <c r="F102" s="5" t="s">
        <v>227</v>
      </c>
      <c r="G102" s="3" t="s">
        <v>121</v>
      </c>
      <c r="H102" s="3" t="n">
        <v>1</v>
      </c>
      <c r="I102" s="3" t="n">
        <v>0</v>
      </c>
      <c r="J102" s="7" t="s">
        <v>3</v>
      </c>
      <c r="K102" s="5"/>
    </row>
    <row r="103" customFormat="false" ht="15" hidden="false" customHeight="false" outlineLevel="0" collapsed="false">
      <c r="A103" s="5" t="s">
        <v>39</v>
      </c>
      <c r="B103" s="3" t="n">
        <v>2</v>
      </c>
      <c r="C103" s="5" t="s">
        <v>228</v>
      </c>
      <c r="D103" s="5" t="s">
        <v>96</v>
      </c>
      <c r="E103" s="3" t="s">
        <v>97</v>
      </c>
      <c r="F103" s="5" t="s">
        <v>229</v>
      </c>
      <c r="G103" s="3" t="s">
        <v>108</v>
      </c>
      <c r="H103" s="3" t="n">
        <v>4</v>
      </c>
      <c r="I103" s="3" t="n">
        <v>0</v>
      </c>
      <c r="J103" s="7" t="s">
        <v>3</v>
      </c>
      <c r="K103" s="5"/>
    </row>
    <row r="104" customFormat="false" ht="15" hidden="false" customHeight="false" outlineLevel="0" collapsed="false">
      <c r="A104" s="5" t="s">
        <v>39</v>
      </c>
      <c r="B104" s="3" t="n">
        <v>3</v>
      </c>
      <c r="C104" s="5" t="s">
        <v>230</v>
      </c>
      <c r="D104" s="5" t="s">
        <v>96</v>
      </c>
      <c r="E104" s="3" t="s">
        <v>97</v>
      </c>
      <c r="F104" s="5" t="s">
        <v>73</v>
      </c>
      <c r="G104" s="3" t="s">
        <v>122</v>
      </c>
      <c r="H104" s="3" t="n">
        <v>0</v>
      </c>
      <c r="I104" s="3" t="n">
        <v>0</v>
      </c>
      <c r="J104" s="8" t="s">
        <v>4</v>
      </c>
      <c r="K104" s="5"/>
    </row>
    <row r="105" customFormat="false" ht="15" hidden="false" customHeight="false" outlineLevel="0" collapsed="false">
      <c r="A105" s="5" t="s">
        <v>39</v>
      </c>
      <c r="B105" s="3" t="n">
        <v>4</v>
      </c>
      <c r="C105" s="5" t="s">
        <v>145</v>
      </c>
      <c r="D105" s="5" t="s">
        <v>105</v>
      </c>
      <c r="E105" s="3" t="s">
        <v>97</v>
      </c>
      <c r="F105" s="5" t="s">
        <v>231</v>
      </c>
      <c r="G105" s="3" t="s">
        <v>144</v>
      </c>
      <c r="H105" s="3" t="n">
        <v>3</v>
      </c>
      <c r="I105" s="3" t="n">
        <v>1</v>
      </c>
      <c r="J105" s="7" t="s">
        <v>3</v>
      </c>
      <c r="K105" s="5" t="s">
        <v>232</v>
      </c>
    </row>
    <row r="106" customFormat="false" ht="15" hidden="false" customHeight="false" outlineLevel="0" collapsed="false">
      <c r="A106" s="5" t="s">
        <v>39</v>
      </c>
      <c r="B106" s="3" t="n">
        <v>5</v>
      </c>
      <c r="C106" s="5" t="s">
        <v>146</v>
      </c>
      <c r="D106" s="5" t="s">
        <v>105</v>
      </c>
      <c r="E106" s="3" t="s">
        <v>40</v>
      </c>
      <c r="F106" s="5" t="s">
        <v>141</v>
      </c>
      <c r="G106" s="3" t="s">
        <v>155</v>
      </c>
      <c r="H106" s="3" t="n">
        <v>1</v>
      </c>
      <c r="I106" s="3" t="n">
        <v>1</v>
      </c>
      <c r="J106" s="8" t="s">
        <v>4</v>
      </c>
      <c r="K106" s="5"/>
    </row>
    <row r="107" customFormat="false" ht="15" hidden="false" customHeight="false" outlineLevel="0" collapsed="false">
      <c r="A107" s="5" t="s">
        <v>39</v>
      </c>
      <c r="B107" s="3" t="n">
        <v>6</v>
      </c>
      <c r="C107" s="5" t="s">
        <v>129</v>
      </c>
      <c r="D107" s="5" t="s">
        <v>105</v>
      </c>
      <c r="E107" s="3" t="s">
        <v>40</v>
      </c>
      <c r="F107" s="5" t="s">
        <v>77</v>
      </c>
      <c r="G107" s="3" t="s">
        <v>122</v>
      </c>
      <c r="H107" s="3" t="n">
        <v>0</v>
      </c>
      <c r="I107" s="3" t="n">
        <v>0</v>
      </c>
      <c r="J107" s="8" t="s">
        <v>4</v>
      </c>
      <c r="K107" s="5"/>
    </row>
    <row r="108" customFormat="false" ht="15" hidden="false" customHeight="false" outlineLevel="0" collapsed="false">
      <c r="A108" s="5" t="s">
        <v>39</v>
      </c>
      <c r="B108" s="3" t="n">
        <v>7</v>
      </c>
      <c r="C108" s="5" t="s">
        <v>110</v>
      </c>
      <c r="D108" s="5" t="s">
        <v>105</v>
      </c>
      <c r="E108" s="3" t="s">
        <v>40</v>
      </c>
      <c r="F108" s="5" t="s">
        <v>233</v>
      </c>
      <c r="G108" s="3" t="s">
        <v>142</v>
      </c>
      <c r="H108" s="3" t="n">
        <v>3</v>
      </c>
      <c r="I108" s="3" t="n">
        <v>0</v>
      </c>
      <c r="J108" s="7" t="s">
        <v>3</v>
      </c>
      <c r="K108" s="5"/>
    </row>
    <row r="109" customFormat="false" ht="15" hidden="false" customHeight="false" outlineLevel="0" collapsed="false">
      <c r="A109" s="5" t="s">
        <v>39</v>
      </c>
      <c r="B109" s="3" t="n">
        <v>8</v>
      </c>
      <c r="C109" s="5" t="s">
        <v>131</v>
      </c>
      <c r="D109" s="5" t="s">
        <v>113</v>
      </c>
      <c r="E109" s="3" t="s">
        <v>40</v>
      </c>
      <c r="F109" s="5" t="s">
        <v>124</v>
      </c>
      <c r="G109" s="3" t="s">
        <v>137</v>
      </c>
      <c r="H109" s="3" t="n">
        <v>2</v>
      </c>
      <c r="I109" s="3" t="n">
        <v>2</v>
      </c>
      <c r="J109" s="8" t="s">
        <v>4</v>
      </c>
      <c r="K109" s="5"/>
    </row>
    <row r="110" customFormat="false" ht="15" hidden="false" customHeight="false" outlineLevel="0" collapsed="false">
      <c r="A110" s="5" t="s">
        <v>39</v>
      </c>
      <c r="B110" s="3" t="n">
        <v>9</v>
      </c>
      <c r="C110" s="5" t="s">
        <v>132</v>
      </c>
      <c r="D110" s="5" t="s">
        <v>113</v>
      </c>
      <c r="E110" s="3" t="s">
        <v>24</v>
      </c>
      <c r="F110" s="5" t="s">
        <v>234</v>
      </c>
      <c r="G110" s="3" t="s">
        <v>108</v>
      </c>
      <c r="H110" s="3" t="n">
        <v>4</v>
      </c>
      <c r="I110" s="3" t="n">
        <v>0</v>
      </c>
      <c r="J110" s="7" t="s">
        <v>3</v>
      </c>
      <c r="K110" s="5"/>
    </row>
    <row r="111" customFormat="false" ht="15" hidden="false" customHeight="false" outlineLevel="0" collapsed="false">
      <c r="A111" s="5" t="s">
        <v>39</v>
      </c>
      <c r="B111" s="3" t="n">
        <v>10</v>
      </c>
      <c r="C111" s="5" t="s">
        <v>133</v>
      </c>
      <c r="D111" s="5" t="s">
        <v>113</v>
      </c>
      <c r="E111" s="3" t="s">
        <v>40</v>
      </c>
      <c r="F111" s="5" t="s">
        <v>235</v>
      </c>
      <c r="G111" s="3" t="s">
        <v>108</v>
      </c>
      <c r="H111" s="3" t="n">
        <v>4</v>
      </c>
      <c r="I111" s="3" t="n">
        <v>0</v>
      </c>
      <c r="J111" s="7" t="s">
        <v>3</v>
      </c>
      <c r="K111" s="5"/>
    </row>
    <row r="112" customFormat="false" ht="15" hidden="false" customHeight="false" outlineLevel="0" collapsed="false">
      <c r="A112" s="5" t="s">
        <v>42</v>
      </c>
      <c r="B112" s="3" t="n">
        <v>1</v>
      </c>
      <c r="C112" s="5" t="s">
        <v>211</v>
      </c>
      <c r="D112" s="5" t="s">
        <v>96</v>
      </c>
      <c r="E112" s="3" t="s">
        <v>97</v>
      </c>
      <c r="F112" s="5" t="s">
        <v>81</v>
      </c>
      <c r="G112" s="3" t="s">
        <v>236</v>
      </c>
      <c r="H112" s="3" t="n">
        <v>3</v>
      </c>
      <c r="I112" s="3" t="n">
        <v>3</v>
      </c>
      <c r="J112" s="8" t="s">
        <v>4</v>
      </c>
      <c r="K112" s="5"/>
    </row>
    <row r="113" customFormat="false" ht="15" hidden="false" customHeight="false" outlineLevel="0" collapsed="false">
      <c r="A113" s="5" t="s">
        <v>42</v>
      </c>
      <c r="B113" s="3" t="n">
        <v>2</v>
      </c>
      <c r="C113" s="5" t="s">
        <v>140</v>
      </c>
      <c r="D113" s="5" t="s">
        <v>96</v>
      </c>
      <c r="E113" s="3" t="s">
        <v>97</v>
      </c>
      <c r="F113" s="5" t="s">
        <v>71</v>
      </c>
      <c r="G113" s="3" t="s">
        <v>135</v>
      </c>
      <c r="H113" s="3" t="n">
        <v>0</v>
      </c>
      <c r="I113" s="3" t="n">
        <v>2</v>
      </c>
      <c r="J113" s="6" t="s">
        <v>5</v>
      </c>
      <c r="K113" s="5"/>
    </row>
    <row r="114" customFormat="false" ht="15" hidden="false" customHeight="false" outlineLevel="0" collapsed="false">
      <c r="A114" s="5" t="s">
        <v>42</v>
      </c>
      <c r="B114" s="3" t="n">
        <v>3</v>
      </c>
      <c r="C114" s="5" t="s">
        <v>214</v>
      </c>
      <c r="D114" s="5" t="s">
        <v>96</v>
      </c>
      <c r="E114" s="3" t="s">
        <v>97</v>
      </c>
      <c r="F114" s="5" t="s">
        <v>237</v>
      </c>
      <c r="G114" s="3" t="s">
        <v>144</v>
      </c>
      <c r="H114" s="3" t="n">
        <v>3</v>
      </c>
      <c r="I114" s="3" t="n">
        <v>1</v>
      </c>
      <c r="J114" s="7" t="s">
        <v>3</v>
      </c>
      <c r="K114" s="5"/>
    </row>
    <row r="115" customFormat="false" ht="15" hidden="false" customHeight="false" outlineLevel="0" collapsed="false">
      <c r="A115" s="5" t="s">
        <v>42</v>
      </c>
      <c r="B115" s="3" t="n">
        <v>4</v>
      </c>
      <c r="C115" s="5" t="s">
        <v>159</v>
      </c>
      <c r="D115" s="5" t="s">
        <v>105</v>
      </c>
      <c r="E115" s="3" t="s">
        <v>24</v>
      </c>
      <c r="F115" s="5" t="s">
        <v>157</v>
      </c>
      <c r="G115" s="3" t="s">
        <v>121</v>
      </c>
      <c r="H115" s="3" t="n">
        <v>1</v>
      </c>
      <c r="I115" s="3" t="n">
        <v>0</v>
      </c>
      <c r="J115" s="7" t="s">
        <v>3</v>
      </c>
      <c r="K115" s="5"/>
    </row>
    <row r="116" customFormat="false" ht="15" hidden="false" customHeight="false" outlineLevel="0" collapsed="false">
      <c r="A116" s="5" t="s">
        <v>42</v>
      </c>
      <c r="B116" s="3" t="n">
        <v>5</v>
      </c>
      <c r="C116" s="5" t="s">
        <v>129</v>
      </c>
      <c r="D116" s="5" t="s">
        <v>105</v>
      </c>
      <c r="E116" s="3" t="s">
        <v>40</v>
      </c>
      <c r="F116" s="5" t="s">
        <v>134</v>
      </c>
      <c r="G116" s="3" t="s">
        <v>121</v>
      </c>
      <c r="H116" s="3" t="n">
        <v>1</v>
      </c>
      <c r="I116" s="3" t="n">
        <v>0</v>
      </c>
      <c r="J116" s="7" t="s">
        <v>3</v>
      </c>
      <c r="K116" s="5"/>
    </row>
    <row r="117" customFormat="false" ht="15" hidden="false" customHeight="false" outlineLevel="0" collapsed="false">
      <c r="A117" s="5" t="s">
        <v>42</v>
      </c>
      <c r="B117" s="3" t="n">
        <v>6</v>
      </c>
      <c r="C117" s="5" t="s">
        <v>110</v>
      </c>
      <c r="D117" s="5" t="s">
        <v>105</v>
      </c>
      <c r="E117" s="3" t="s">
        <v>40</v>
      </c>
      <c r="F117" s="5" t="s">
        <v>85</v>
      </c>
      <c r="G117" s="3" t="s">
        <v>158</v>
      </c>
      <c r="H117" s="3" t="n">
        <v>5</v>
      </c>
      <c r="I117" s="3" t="n">
        <v>1</v>
      </c>
      <c r="J117" s="7" t="s">
        <v>3</v>
      </c>
      <c r="K117" s="5"/>
    </row>
    <row r="118" customFormat="false" ht="15" hidden="false" customHeight="false" outlineLevel="0" collapsed="false">
      <c r="A118" s="5" t="s">
        <v>42</v>
      </c>
      <c r="B118" s="3" t="n">
        <v>7</v>
      </c>
      <c r="C118" s="5" t="s">
        <v>131</v>
      </c>
      <c r="D118" s="5" t="s">
        <v>113</v>
      </c>
      <c r="E118" s="3" t="s">
        <v>24</v>
      </c>
      <c r="F118" s="5" t="s">
        <v>47</v>
      </c>
      <c r="G118" s="3" t="s">
        <v>155</v>
      </c>
      <c r="H118" s="3" t="n">
        <v>1</v>
      </c>
      <c r="I118" s="3" t="n">
        <v>1</v>
      </c>
      <c r="J118" s="8" t="s">
        <v>4</v>
      </c>
      <c r="K118" s="5" t="s">
        <v>238</v>
      </c>
    </row>
    <row r="119" customFormat="false" ht="15" hidden="false" customHeight="false" outlineLevel="0" collapsed="false">
      <c r="A119" s="5" t="s">
        <v>42</v>
      </c>
      <c r="B119" s="3" t="n">
        <v>8</v>
      </c>
      <c r="C119" s="5" t="s">
        <v>132</v>
      </c>
      <c r="D119" s="5" t="s">
        <v>113</v>
      </c>
      <c r="E119" s="3" t="s">
        <v>24</v>
      </c>
      <c r="F119" s="5" t="s">
        <v>239</v>
      </c>
      <c r="G119" s="3" t="s">
        <v>118</v>
      </c>
      <c r="H119" s="3" t="n">
        <v>2</v>
      </c>
      <c r="I119" s="3" t="n">
        <v>0</v>
      </c>
      <c r="J119" s="7" t="s">
        <v>3</v>
      </c>
      <c r="K119" s="5"/>
    </row>
    <row r="120" customFormat="false" ht="15" hidden="false" customHeight="false" outlineLevel="0" collapsed="false">
      <c r="A120" s="5" t="s">
        <v>42</v>
      </c>
      <c r="B120" s="3" t="n">
        <v>9</v>
      </c>
      <c r="C120" s="5" t="s">
        <v>194</v>
      </c>
      <c r="D120" s="5" t="s">
        <v>113</v>
      </c>
      <c r="E120" s="3" t="s">
        <v>24</v>
      </c>
      <c r="F120" s="5" t="s">
        <v>240</v>
      </c>
      <c r="G120" s="3" t="s">
        <v>121</v>
      </c>
      <c r="H120" s="3" t="n">
        <v>1</v>
      </c>
      <c r="I120" s="3" t="n">
        <v>0</v>
      </c>
      <c r="J120" s="7" t="s">
        <v>3</v>
      </c>
      <c r="K120" s="5"/>
    </row>
    <row r="121" customFormat="false" ht="15" hidden="false" customHeight="false" outlineLevel="0" collapsed="false">
      <c r="A121" s="5" t="s">
        <v>42</v>
      </c>
      <c r="B121" s="3" t="n">
        <v>10</v>
      </c>
      <c r="C121" s="5" t="s">
        <v>241</v>
      </c>
      <c r="D121" s="5" t="s">
        <v>113</v>
      </c>
      <c r="E121" s="3" t="s">
        <v>40</v>
      </c>
      <c r="F121" s="5" t="s">
        <v>242</v>
      </c>
      <c r="G121" s="3" t="s">
        <v>243</v>
      </c>
      <c r="H121" s="3" t="n">
        <v>10</v>
      </c>
      <c r="I121" s="3" t="n">
        <v>0</v>
      </c>
      <c r="J121" s="7" t="s">
        <v>3</v>
      </c>
      <c r="K121" s="5"/>
    </row>
    <row r="122" customFormat="false" ht="15" hidden="false" customHeight="false" outlineLevel="0" collapsed="false">
      <c r="A122" s="5" t="s">
        <v>45</v>
      </c>
      <c r="B122" s="3" t="n">
        <v>1</v>
      </c>
      <c r="C122" s="5" t="s">
        <v>95</v>
      </c>
      <c r="D122" s="5" t="s">
        <v>96</v>
      </c>
      <c r="E122" s="3" t="s">
        <v>40</v>
      </c>
      <c r="F122" s="5" t="s">
        <v>124</v>
      </c>
      <c r="G122" s="3" t="s">
        <v>244</v>
      </c>
      <c r="H122" s="3" t="n">
        <v>2</v>
      </c>
      <c r="I122" s="3" t="n">
        <v>3</v>
      </c>
      <c r="J122" s="6" t="s">
        <v>5</v>
      </c>
      <c r="K122" s="5" t="s">
        <v>245</v>
      </c>
    </row>
    <row r="123" customFormat="false" ht="15" hidden="false" customHeight="false" outlineLevel="0" collapsed="false">
      <c r="A123" s="5" t="s">
        <v>45</v>
      </c>
      <c r="B123" s="3" t="n">
        <v>2</v>
      </c>
      <c r="C123" s="5" t="s">
        <v>123</v>
      </c>
      <c r="D123" s="5" t="s">
        <v>96</v>
      </c>
      <c r="E123" s="3" t="s">
        <v>40</v>
      </c>
      <c r="F123" s="5" t="s">
        <v>75</v>
      </c>
      <c r="G123" s="3" t="s">
        <v>118</v>
      </c>
      <c r="H123" s="3" t="n">
        <v>2</v>
      </c>
      <c r="I123" s="3" t="n">
        <v>0</v>
      </c>
      <c r="J123" s="7" t="s">
        <v>3</v>
      </c>
      <c r="K123" s="5" t="s">
        <v>245</v>
      </c>
    </row>
    <row r="124" customFormat="false" ht="15" hidden="false" customHeight="false" outlineLevel="0" collapsed="false">
      <c r="A124" s="5" t="s">
        <v>45</v>
      </c>
      <c r="B124" s="3" t="n">
        <v>3</v>
      </c>
      <c r="C124" s="5" t="s">
        <v>125</v>
      </c>
      <c r="D124" s="5" t="s">
        <v>96</v>
      </c>
      <c r="E124" s="3" t="s">
        <v>40</v>
      </c>
      <c r="F124" s="5" t="s">
        <v>15</v>
      </c>
      <c r="G124" s="3" t="s">
        <v>139</v>
      </c>
      <c r="H124" s="3" t="n">
        <v>4</v>
      </c>
      <c r="I124" s="3" t="n">
        <v>1</v>
      </c>
      <c r="J124" s="7" t="s">
        <v>3</v>
      </c>
      <c r="K124" s="5" t="s">
        <v>245</v>
      </c>
    </row>
    <row r="125" customFormat="false" ht="15" hidden="false" customHeight="false" outlineLevel="0" collapsed="false">
      <c r="A125" s="5" t="s">
        <v>45</v>
      </c>
      <c r="B125" s="3" t="n">
        <v>4</v>
      </c>
      <c r="C125" s="5" t="s">
        <v>104</v>
      </c>
      <c r="D125" s="5" t="s">
        <v>105</v>
      </c>
      <c r="E125" s="3" t="s">
        <v>40</v>
      </c>
      <c r="F125" s="5" t="s">
        <v>11</v>
      </c>
      <c r="G125" s="3" t="s">
        <v>98</v>
      </c>
      <c r="H125" s="3" t="n">
        <v>1</v>
      </c>
      <c r="I125" s="3" t="n">
        <v>2</v>
      </c>
      <c r="J125" s="6" t="s">
        <v>5</v>
      </c>
      <c r="K125" s="5"/>
    </row>
    <row r="126" customFormat="false" ht="15" hidden="false" customHeight="false" outlineLevel="0" collapsed="false">
      <c r="A126" s="5" t="s">
        <v>45</v>
      </c>
      <c r="B126" s="3" t="n">
        <v>5</v>
      </c>
      <c r="C126" s="5" t="s">
        <v>106</v>
      </c>
      <c r="D126" s="5" t="s">
        <v>105</v>
      </c>
      <c r="E126" s="3" t="s">
        <v>40</v>
      </c>
      <c r="F126" s="5" t="s">
        <v>52</v>
      </c>
      <c r="G126" s="3" t="s">
        <v>163</v>
      </c>
      <c r="H126" s="3" t="n">
        <v>3</v>
      </c>
      <c r="I126" s="3" t="n">
        <v>2</v>
      </c>
      <c r="J126" s="7" t="s">
        <v>3</v>
      </c>
      <c r="K126" s="5"/>
    </row>
    <row r="127" customFormat="false" ht="15" hidden="false" customHeight="false" outlineLevel="0" collapsed="false">
      <c r="A127" s="5" t="s">
        <v>45</v>
      </c>
      <c r="B127" s="3" t="n">
        <v>6</v>
      </c>
      <c r="C127" s="5" t="s">
        <v>129</v>
      </c>
      <c r="D127" s="5" t="s">
        <v>105</v>
      </c>
      <c r="E127" s="3" t="s">
        <v>40</v>
      </c>
      <c r="F127" s="5" t="s">
        <v>34</v>
      </c>
      <c r="G127" s="3" t="s">
        <v>135</v>
      </c>
      <c r="H127" s="3" t="n">
        <v>0</v>
      </c>
      <c r="I127" s="3" t="n">
        <v>2</v>
      </c>
      <c r="J127" s="6" t="s">
        <v>5</v>
      </c>
      <c r="K127" s="5"/>
    </row>
    <row r="128" customFormat="false" ht="15" hidden="false" customHeight="false" outlineLevel="0" collapsed="false">
      <c r="A128" s="5" t="s">
        <v>45</v>
      </c>
      <c r="B128" s="3" t="n">
        <v>7</v>
      </c>
      <c r="C128" s="5" t="s">
        <v>188</v>
      </c>
      <c r="D128" s="5" t="s">
        <v>105</v>
      </c>
      <c r="E128" s="3" t="s">
        <v>40</v>
      </c>
      <c r="F128" s="5" t="s">
        <v>49</v>
      </c>
      <c r="G128" s="3" t="s">
        <v>246</v>
      </c>
      <c r="H128" s="3" t="n">
        <v>2</v>
      </c>
      <c r="I128" s="3" t="n">
        <v>5</v>
      </c>
      <c r="J128" s="6" t="s">
        <v>5</v>
      </c>
      <c r="K128" s="5"/>
    </row>
    <row r="129" customFormat="false" ht="15" hidden="false" customHeight="false" outlineLevel="0" collapsed="false">
      <c r="A129" s="5" t="s">
        <v>45</v>
      </c>
      <c r="B129" s="3" t="n">
        <v>8</v>
      </c>
      <c r="C129" s="5" t="s">
        <v>131</v>
      </c>
      <c r="D129" s="5" t="s">
        <v>105</v>
      </c>
      <c r="E129" s="3" t="s">
        <v>40</v>
      </c>
      <c r="F129" s="5" t="s">
        <v>227</v>
      </c>
      <c r="G129" s="3" t="s">
        <v>158</v>
      </c>
      <c r="H129" s="3" t="n">
        <v>5</v>
      </c>
      <c r="I129" s="3" t="n">
        <v>1</v>
      </c>
      <c r="J129" s="7" t="s">
        <v>3</v>
      </c>
      <c r="K129" s="5"/>
    </row>
    <row r="130" customFormat="false" ht="15" hidden="false" customHeight="false" outlineLevel="0" collapsed="false">
      <c r="A130" s="5" t="s">
        <v>45</v>
      </c>
      <c r="B130" s="3" t="n">
        <v>9</v>
      </c>
      <c r="C130" s="5" t="s">
        <v>132</v>
      </c>
      <c r="D130" s="5" t="s">
        <v>105</v>
      </c>
      <c r="E130" s="3" t="s">
        <v>40</v>
      </c>
      <c r="F130" s="5" t="s">
        <v>15</v>
      </c>
      <c r="G130" s="3" t="s">
        <v>100</v>
      </c>
      <c r="H130" s="3" t="n">
        <v>2</v>
      </c>
      <c r="I130" s="3" t="n">
        <v>1</v>
      </c>
      <c r="J130" s="7" t="s">
        <v>3</v>
      </c>
      <c r="K130" s="5"/>
    </row>
    <row r="131" customFormat="false" ht="15" hidden="false" customHeight="false" outlineLevel="0" collapsed="false">
      <c r="A131" s="5" t="s">
        <v>45</v>
      </c>
      <c r="B131" s="3" t="n">
        <v>10</v>
      </c>
      <c r="C131" s="5" t="s">
        <v>133</v>
      </c>
      <c r="D131" s="5" t="s">
        <v>105</v>
      </c>
      <c r="E131" s="3" t="s">
        <v>40</v>
      </c>
      <c r="F131" s="5" t="s">
        <v>75</v>
      </c>
      <c r="G131" s="3" t="s">
        <v>100</v>
      </c>
      <c r="H131" s="3" t="n">
        <v>2</v>
      </c>
      <c r="I131" s="3" t="n">
        <v>1</v>
      </c>
      <c r="J131" s="7" t="s">
        <v>3</v>
      </c>
      <c r="K131" s="5"/>
    </row>
    <row r="132" customFormat="false" ht="15" hidden="false" customHeight="false" outlineLevel="0" collapsed="false">
      <c r="A132" s="5" t="s">
        <v>47</v>
      </c>
      <c r="B132" s="3" t="n">
        <v>1</v>
      </c>
      <c r="C132" s="5" t="s">
        <v>170</v>
      </c>
      <c r="D132" s="5" t="s">
        <v>96</v>
      </c>
      <c r="E132" s="3" t="s">
        <v>97</v>
      </c>
      <c r="F132" s="5" t="s">
        <v>185</v>
      </c>
      <c r="G132" s="3" t="s">
        <v>144</v>
      </c>
      <c r="H132" s="3" t="n">
        <v>3</v>
      </c>
      <c r="I132" s="3" t="n">
        <v>1</v>
      </c>
      <c r="J132" s="7" t="s">
        <v>3</v>
      </c>
      <c r="K132" s="5"/>
    </row>
    <row r="133" customFormat="false" ht="15" hidden="false" customHeight="false" outlineLevel="0" collapsed="false">
      <c r="A133" s="5" t="s">
        <v>47</v>
      </c>
      <c r="B133" s="3" t="n">
        <v>2</v>
      </c>
      <c r="C133" s="5" t="s">
        <v>171</v>
      </c>
      <c r="D133" s="5" t="s">
        <v>96</v>
      </c>
      <c r="E133" s="3" t="s">
        <v>97</v>
      </c>
      <c r="F133" s="5" t="s">
        <v>79</v>
      </c>
      <c r="G133" s="3" t="s">
        <v>126</v>
      </c>
      <c r="H133" s="3" t="n">
        <v>1</v>
      </c>
      <c r="I133" s="3" t="n">
        <v>4</v>
      </c>
      <c r="J133" s="6" t="s">
        <v>5</v>
      </c>
      <c r="K133" s="5"/>
    </row>
    <row r="134" customFormat="false" ht="15" hidden="false" customHeight="false" outlineLevel="0" collapsed="false">
      <c r="A134" s="5" t="s">
        <v>47</v>
      </c>
      <c r="B134" s="3" t="n">
        <v>3</v>
      </c>
      <c r="C134" s="5" t="s">
        <v>125</v>
      </c>
      <c r="D134" s="5" t="s">
        <v>96</v>
      </c>
      <c r="E134" s="3" t="s">
        <v>97</v>
      </c>
      <c r="F134" s="5" t="s">
        <v>26</v>
      </c>
      <c r="G134" s="3" t="s">
        <v>155</v>
      </c>
      <c r="H134" s="3" t="n">
        <v>1</v>
      </c>
      <c r="I134" s="3" t="n">
        <v>1</v>
      </c>
      <c r="J134" s="8" t="s">
        <v>4</v>
      </c>
      <c r="K134" s="5"/>
    </row>
    <row r="135" customFormat="false" ht="15" hidden="false" customHeight="false" outlineLevel="0" collapsed="false">
      <c r="A135" s="5" t="s">
        <v>47</v>
      </c>
      <c r="B135" s="3" t="n">
        <v>4</v>
      </c>
      <c r="C135" s="5" t="s">
        <v>104</v>
      </c>
      <c r="D135" s="5" t="s">
        <v>105</v>
      </c>
      <c r="E135" s="3" t="s">
        <v>97</v>
      </c>
      <c r="F135" s="5" t="s">
        <v>177</v>
      </c>
      <c r="G135" s="3" t="s">
        <v>155</v>
      </c>
      <c r="H135" s="3" t="n">
        <v>1</v>
      </c>
      <c r="I135" s="3" t="n">
        <v>1</v>
      </c>
      <c r="J135" s="8" t="s">
        <v>4</v>
      </c>
      <c r="K135" s="5"/>
    </row>
    <row r="136" customFormat="false" ht="15" hidden="false" customHeight="false" outlineLevel="0" collapsed="false">
      <c r="A136" s="5" t="s">
        <v>47</v>
      </c>
      <c r="B136" s="3" t="n">
        <v>5</v>
      </c>
      <c r="C136" s="5" t="s">
        <v>176</v>
      </c>
      <c r="D136" s="5" t="s">
        <v>105</v>
      </c>
      <c r="E136" s="3" t="s">
        <v>40</v>
      </c>
      <c r="F136" s="5" t="s">
        <v>247</v>
      </c>
      <c r="G136" s="3" t="s">
        <v>122</v>
      </c>
      <c r="H136" s="3" t="n">
        <v>0</v>
      </c>
      <c r="I136" s="3" t="n">
        <v>0</v>
      </c>
      <c r="J136" s="8" t="s">
        <v>4</v>
      </c>
      <c r="K136" s="5"/>
    </row>
    <row r="137" customFormat="false" ht="15" hidden="false" customHeight="false" outlineLevel="0" collapsed="false">
      <c r="A137" s="5" t="s">
        <v>47</v>
      </c>
      <c r="B137" s="3" t="n">
        <v>6</v>
      </c>
      <c r="C137" s="5" t="s">
        <v>129</v>
      </c>
      <c r="D137" s="5" t="s">
        <v>248</v>
      </c>
      <c r="E137" s="3" t="s">
        <v>40</v>
      </c>
      <c r="F137" s="5" t="s">
        <v>249</v>
      </c>
      <c r="G137" s="3" t="s">
        <v>155</v>
      </c>
      <c r="H137" s="3" t="n">
        <v>1</v>
      </c>
      <c r="I137" s="3" t="n">
        <v>1</v>
      </c>
      <c r="J137" s="7" t="s">
        <v>3</v>
      </c>
      <c r="K137" s="5" t="s">
        <v>250</v>
      </c>
    </row>
    <row r="138" customFormat="false" ht="15" hidden="false" customHeight="false" outlineLevel="0" collapsed="false">
      <c r="A138" s="5" t="s">
        <v>47</v>
      </c>
      <c r="B138" s="3" t="n">
        <v>7</v>
      </c>
      <c r="C138" s="5" t="s">
        <v>148</v>
      </c>
      <c r="D138" s="5" t="s">
        <v>248</v>
      </c>
      <c r="E138" s="3" t="s">
        <v>24</v>
      </c>
      <c r="F138" s="5" t="s">
        <v>251</v>
      </c>
      <c r="G138" s="3" t="s">
        <v>155</v>
      </c>
      <c r="H138" s="3" t="n">
        <v>1</v>
      </c>
      <c r="I138" s="3" t="n">
        <v>1</v>
      </c>
      <c r="J138" s="7" t="s">
        <v>3</v>
      </c>
      <c r="K138" s="5" t="s">
        <v>208</v>
      </c>
    </row>
    <row r="139" customFormat="false" ht="15" hidden="false" customHeight="false" outlineLevel="0" collapsed="false">
      <c r="A139" s="5" t="s">
        <v>47</v>
      </c>
      <c r="B139" s="3" t="n">
        <v>8</v>
      </c>
      <c r="C139" s="5" t="s">
        <v>131</v>
      </c>
      <c r="D139" s="5" t="s">
        <v>113</v>
      </c>
      <c r="E139" s="3" t="s">
        <v>24</v>
      </c>
      <c r="F139" s="5" t="s">
        <v>42</v>
      </c>
      <c r="G139" s="3" t="s">
        <v>155</v>
      </c>
      <c r="H139" s="3" t="n">
        <v>1</v>
      </c>
      <c r="I139" s="3" t="n">
        <v>1</v>
      </c>
      <c r="J139" s="8" t="s">
        <v>4</v>
      </c>
      <c r="K139" s="5" t="s">
        <v>238</v>
      </c>
    </row>
    <row r="140" customFormat="false" ht="15" hidden="false" customHeight="false" outlineLevel="0" collapsed="false">
      <c r="A140" s="5" t="s">
        <v>47</v>
      </c>
      <c r="B140" s="3" t="n">
        <v>9</v>
      </c>
      <c r="C140" s="5" t="s">
        <v>132</v>
      </c>
      <c r="D140" s="5" t="s">
        <v>113</v>
      </c>
      <c r="E140" s="3" t="s">
        <v>40</v>
      </c>
      <c r="F140" s="5" t="s">
        <v>240</v>
      </c>
      <c r="G140" s="3" t="s">
        <v>144</v>
      </c>
      <c r="H140" s="3" t="n">
        <v>3</v>
      </c>
      <c r="I140" s="3" t="n">
        <v>1</v>
      </c>
      <c r="J140" s="7" t="s">
        <v>3</v>
      </c>
      <c r="K140" s="5"/>
    </row>
    <row r="141" customFormat="false" ht="15" hidden="false" customHeight="false" outlineLevel="0" collapsed="false">
      <c r="A141" s="5" t="s">
        <v>47</v>
      </c>
      <c r="B141" s="3" t="n">
        <v>10</v>
      </c>
      <c r="C141" s="5" t="s">
        <v>194</v>
      </c>
      <c r="D141" s="5" t="s">
        <v>113</v>
      </c>
      <c r="E141" s="3" t="s">
        <v>24</v>
      </c>
      <c r="F141" s="5" t="s">
        <v>252</v>
      </c>
      <c r="G141" s="3" t="s">
        <v>139</v>
      </c>
      <c r="H141" s="3" t="n">
        <v>4</v>
      </c>
      <c r="I141" s="3" t="n">
        <v>1</v>
      </c>
      <c r="J141" s="7" t="s">
        <v>3</v>
      </c>
      <c r="K141" s="5" t="s">
        <v>253</v>
      </c>
    </row>
    <row r="142" customFormat="false" ht="15" hidden="false" customHeight="false" outlineLevel="0" collapsed="false">
      <c r="A142" s="5" t="s">
        <v>49</v>
      </c>
      <c r="B142" s="3" t="n">
        <v>1</v>
      </c>
      <c r="C142" s="5" t="s">
        <v>138</v>
      </c>
      <c r="D142" s="5" t="s">
        <v>96</v>
      </c>
      <c r="E142" s="3" t="s">
        <v>97</v>
      </c>
      <c r="F142" s="5" t="s">
        <v>254</v>
      </c>
      <c r="G142" s="3" t="s">
        <v>158</v>
      </c>
      <c r="H142" s="3" t="n">
        <v>5</v>
      </c>
      <c r="I142" s="3" t="n">
        <v>1</v>
      </c>
      <c r="J142" s="7" t="s">
        <v>3</v>
      </c>
      <c r="K142" s="5"/>
    </row>
    <row r="143" customFormat="false" ht="15" hidden="false" customHeight="false" outlineLevel="0" collapsed="false">
      <c r="A143" s="5" t="s">
        <v>49</v>
      </c>
      <c r="B143" s="3" t="n">
        <v>2</v>
      </c>
      <c r="C143" s="5" t="s">
        <v>228</v>
      </c>
      <c r="D143" s="5" t="s">
        <v>96</v>
      </c>
      <c r="E143" s="3" t="s">
        <v>97</v>
      </c>
      <c r="F143" s="5" t="s">
        <v>255</v>
      </c>
      <c r="G143" s="3" t="s">
        <v>122</v>
      </c>
      <c r="H143" s="3" t="n">
        <v>0</v>
      </c>
      <c r="I143" s="3" t="n">
        <v>0</v>
      </c>
      <c r="J143" s="8" t="s">
        <v>4</v>
      </c>
      <c r="K143" s="5"/>
    </row>
    <row r="144" customFormat="false" ht="15" hidden="false" customHeight="false" outlineLevel="0" collapsed="false">
      <c r="A144" s="5" t="s">
        <v>49</v>
      </c>
      <c r="B144" s="3" t="n">
        <v>3</v>
      </c>
      <c r="C144" s="5" t="s">
        <v>230</v>
      </c>
      <c r="D144" s="5" t="s">
        <v>96</v>
      </c>
      <c r="E144" s="3" t="s">
        <v>97</v>
      </c>
      <c r="F144" s="5" t="s">
        <v>77</v>
      </c>
      <c r="G144" s="3" t="s">
        <v>155</v>
      </c>
      <c r="H144" s="3" t="n">
        <v>1</v>
      </c>
      <c r="I144" s="3" t="n">
        <v>1</v>
      </c>
      <c r="J144" s="8" t="s">
        <v>4</v>
      </c>
      <c r="K144" s="5"/>
    </row>
    <row r="145" customFormat="false" ht="15" hidden="false" customHeight="false" outlineLevel="0" collapsed="false">
      <c r="A145" s="5" t="s">
        <v>49</v>
      </c>
      <c r="B145" s="3" t="n">
        <v>4</v>
      </c>
      <c r="C145" s="5" t="s">
        <v>104</v>
      </c>
      <c r="D145" s="5" t="s">
        <v>105</v>
      </c>
      <c r="E145" s="3" t="s">
        <v>40</v>
      </c>
      <c r="F145" s="5" t="s">
        <v>157</v>
      </c>
      <c r="G145" s="3" t="s">
        <v>213</v>
      </c>
      <c r="H145" s="3" t="n">
        <v>5</v>
      </c>
      <c r="I145" s="3" t="n">
        <v>0</v>
      </c>
      <c r="J145" s="7" t="s">
        <v>3</v>
      </c>
      <c r="K145" s="5"/>
    </row>
    <row r="146" customFormat="false" ht="15" hidden="false" customHeight="false" outlineLevel="0" collapsed="false">
      <c r="A146" s="5" t="s">
        <v>49</v>
      </c>
      <c r="B146" s="3" t="n">
        <v>5</v>
      </c>
      <c r="C146" s="5" t="s">
        <v>200</v>
      </c>
      <c r="D146" s="5" t="s">
        <v>105</v>
      </c>
      <c r="E146" s="3" t="s">
        <v>24</v>
      </c>
      <c r="F146" s="5" t="s">
        <v>37</v>
      </c>
      <c r="G146" s="3" t="s">
        <v>118</v>
      </c>
      <c r="H146" s="3" t="n">
        <v>2</v>
      </c>
      <c r="I146" s="3" t="n">
        <v>0</v>
      </c>
      <c r="J146" s="7" t="s">
        <v>3</v>
      </c>
      <c r="K146" s="5" t="s">
        <v>256</v>
      </c>
    </row>
    <row r="147" customFormat="false" ht="15" hidden="false" customHeight="false" outlineLevel="0" collapsed="false">
      <c r="A147" s="5" t="s">
        <v>49</v>
      </c>
      <c r="B147" s="3" t="n">
        <v>6</v>
      </c>
      <c r="C147" s="5" t="s">
        <v>129</v>
      </c>
      <c r="D147" s="5" t="s">
        <v>105</v>
      </c>
      <c r="E147" s="3" t="s">
        <v>97</v>
      </c>
      <c r="F147" s="5" t="s">
        <v>63</v>
      </c>
      <c r="G147" s="3" t="s">
        <v>155</v>
      </c>
      <c r="H147" s="3" t="n">
        <v>1</v>
      </c>
      <c r="I147" s="3" t="n">
        <v>1</v>
      </c>
      <c r="J147" s="8" t="s">
        <v>4</v>
      </c>
      <c r="K147" s="5"/>
    </row>
    <row r="148" customFormat="false" ht="15" hidden="false" customHeight="false" outlineLevel="0" collapsed="false">
      <c r="A148" s="5" t="s">
        <v>49</v>
      </c>
      <c r="B148" s="3" t="n">
        <v>7</v>
      </c>
      <c r="C148" s="5" t="s">
        <v>188</v>
      </c>
      <c r="D148" s="5" t="s">
        <v>105</v>
      </c>
      <c r="E148" s="3" t="s">
        <v>24</v>
      </c>
      <c r="F148" s="5" t="s">
        <v>45</v>
      </c>
      <c r="G148" s="3" t="s">
        <v>257</v>
      </c>
      <c r="H148" s="3" t="n">
        <v>5</v>
      </c>
      <c r="I148" s="3" t="n">
        <v>2</v>
      </c>
      <c r="J148" s="7" t="s">
        <v>3</v>
      </c>
      <c r="K148" s="5"/>
    </row>
    <row r="149" customFormat="false" ht="15" hidden="false" customHeight="false" outlineLevel="0" collapsed="false">
      <c r="A149" s="5" t="s">
        <v>49</v>
      </c>
      <c r="B149" s="3" t="n">
        <v>8</v>
      </c>
      <c r="C149" s="5" t="s">
        <v>131</v>
      </c>
      <c r="D149" s="5" t="s">
        <v>113</v>
      </c>
      <c r="E149" s="3" t="s">
        <v>40</v>
      </c>
      <c r="F149" s="5" t="s">
        <v>258</v>
      </c>
      <c r="G149" s="3" t="s">
        <v>259</v>
      </c>
      <c r="H149" s="3" t="n">
        <v>7</v>
      </c>
      <c r="I149" s="3" t="n">
        <v>0</v>
      </c>
      <c r="J149" s="7" t="s">
        <v>3</v>
      </c>
      <c r="K149" s="5"/>
    </row>
    <row r="150" customFormat="false" ht="15" hidden="false" customHeight="false" outlineLevel="0" collapsed="false">
      <c r="A150" s="5" t="s">
        <v>49</v>
      </c>
      <c r="B150" s="3" t="n">
        <v>9</v>
      </c>
      <c r="C150" s="5" t="s">
        <v>132</v>
      </c>
      <c r="D150" s="5" t="s">
        <v>113</v>
      </c>
      <c r="E150" s="3" t="s">
        <v>24</v>
      </c>
      <c r="F150" s="5" t="s">
        <v>260</v>
      </c>
      <c r="G150" s="3" t="s">
        <v>155</v>
      </c>
      <c r="H150" s="3" t="n">
        <v>1</v>
      </c>
      <c r="I150" s="3" t="n">
        <v>1</v>
      </c>
      <c r="J150" s="8" t="s">
        <v>4</v>
      </c>
      <c r="K150" s="5"/>
    </row>
    <row r="151" customFormat="false" ht="15" hidden="false" customHeight="false" outlineLevel="0" collapsed="false">
      <c r="A151" s="5" t="s">
        <v>49</v>
      </c>
      <c r="B151" s="3" t="n">
        <v>10</v>
      </c>
      <c r="C151" s="5" t="s">
        <v>119</v>
      </c>
      <c r="D151" s="5" t="s">
        <v>113</v>
      </c>
      <c r="E151" s="3" t="s">
        <v>24</v>
      </c>
      <c r="F151" s="5" t="s">
        <v>251</v>
      </c>
      <c r="G151" s="3" t="s">
        <v>196</v>
      </c>
      <c r="H151" s="3" t="n">
        <v>4</v>
      </c>
      <c r="I151" s="3" t="n">
        <v>2</v>
      </c>
      <c r="J151" s="7" t="s">
        <v>3</v>
      </c>
      <c r="K151" s="5" t="s">
        <v>261</v>
      </c>
    </row>
    <row r="152" customFormat="false" ht="15" hidden="false" customHeight="false" outlineLevel="0" collapsed="false">
      <c r="A152" s="5" t="s">
        <v>52</v>
      </c>
      <c r="B152" s="3" t="n">
        <v>1</v>
      </c>
      <c r="C152" s="5" t="s">
        <v>138</v>
      </c>
      <c r="D152" s="5" t="s">
        <v>96</v>
      </c>
      <c r="E152" s="3" t="s">
        <v>97</v>
      </c>
      <c r="F152" s="5" t="s">
        <v>141</v>
      </c>
      <c r="G152" s="3" t="s">
        <v>213</v>
      </c>
      <c r="H152" s="3" t="n">
        <v>5</v>
      </c>
      <c r="I152" s="3" t="n">
        <v>0</v>
      </c>
      <c r="J152" s="7" t="s">
        <v>3</v>
      </c>
      <c r="K152" s="5"/>
    </row>
    <row r="153" customFormat="false" ht="15" hidden="false" customHeight="false" outlineLevel="0" collapsed="false">
      <c r="A153" s="5" t="s">
        <v>52</v>
      </c>
      <c r="B153" s="3" t="n">
        <v>2</v>
      </c>
      <c r="C153" s="5" t="s">
        <v>140</v>
      </c>
      <c r="D153" s="5" t="s">
        <v>96</v>
      </c>
      <c r="E153" s="3" t="s">
        <v>97</v>
      </c>
      <c r="F153" s="5" t="s">
        <v>61</v>
      </c>
      <c r="G153" s="3" t="s">
        <v>244</v>
      </c>
      <c r="H153" s="3" t="n">
        <v>2</v>
      </c>
      <c r="I153" s="3" t="n">
        <v>3</v>
      </c>
      <c r="J153" s="6" t="s">
        <v>5</v>
      </c>
      <c r="K153" s="5"/>
    </row>
    <row r="154" customFormat="false" ht="15" hidden="false" customHeight="false" outlineLevel="0" collapsed="false">
      <c r="A154" s="5" t="s">
        <v>52</v>
      </c>
      <c r="B154" s="3" t="n">
        <v>3</v>
      </c>
      <c r="C154" s="5" t="s">
        <v>143</v>
      </c>
      <c r="D154" s="5" t="s">
        <v>96</v>
      </c>
      <c r="E154" s="3" t="s">
        <v>97</v>
      </c>
      <c r="F154" s="5" t="s">
        <v>17</v>
      </c>
      <c r="G154" s="3" t="s">
        <v>160</v>
      </c>
      <c r="H154" s="3" t="n">
        <v>1</v>
      </c>
      <c r="I154" s="3" t="n">
        <v>3</v>
      </c>
      <c r="J154" s="6" t="s">
        <v>5</v>
      </c>
      <c r="K154" s="5"/>
    </row>
    <row r="155" customFormat="false" ht="15" hidden="false" customHeight="false" outlineLevel="0" collapsed="false">
      <c r="A155" s="5" t="s">
        <v>52</v>
      </c>
      <c r="B155" s="3" t="n">
        <v>4</v>
      </c>
      <c r="C155" s="5" t="s">
        <v>262</v>
      </c>
      <c r="D155" s="5" t="s">
        <v>105</v>
      </c>
      <c r="E155" s="3" t="s">
        <v>24</v>
      </c>
      <c r="F155" s="5" t="s">
        <v>229</v>
      </c>
      <c r="G155" s="3" t="s">
        <v>122</v>
      </c>
      <c r="H155" s="3" t="n">
        <v>0</v>
      </c>
      <c r="I155" s="3" t="n">
        <v>0</v>
      </c>
      <c r="J155" s="8" t="s">
        <v>4</v>
      </c>
      <c r="K155" s="5"/>
    </row>
    <row r="156" customFormat="false" ht="15" hidden="false" customHeight="false" outlineLevel="0" collapsed="false">
      <c r="A156" s="5" t="s">
        <v>52</v>
      </c>
      <c r="B156" s="3" t="n">
        <v>5</v>
      </c>
      <c r="C156" s="5" t="s">
        <v>106</v>
      </c>
      <c r="D156" s="5" t="s">
        <v>105</v>
      </c>
      <c r="E156" s="3" t="s">
        <v>24</v>
      </c>
      <c r="F156" s="5" t="s">
        <v>45</v>
      </c>
      <c r="G156" s="3" t="s">
        <v>244</v>
      </c>
      <c r="H156" s="3" t="n">
        <v>2</v>
      </c>
      <c r="I156" s="3" t="n">
        <v>3</v>
      </c>
      <c r="J156" s="6" t="s">
        <v>5</v>
      </c>
      <c r="K156" s="5"/>
    </row>
    <row r="157" customFormat="false" ht="15" hidden="false" customHeight="false" outlineLevel="0" collapsed="false">
      <c r="A157" s="5" t="s">
        <v>52</v>
      </c>
      <c r="B157" s="3" t="n">
        <v>6</v>
      </c>
      <c r="C157" s="5" t="s">
        <v>129</v>
      </c>
      <c r="D157" s="5" t="s">
        <v>105</v>
      </c>
      <c r="E157" s="3" t="s">
        <v>97</v>
      </c>
      <c r="F157" s="5" t="s">
        <v>263</v>
      </c>
      <c r="G157" s="3" t="s">
        <v>144</v>
      </c>
      <c r="H157" s="3" t="n">
        <v>3</v>
      </c>
      <c r="I157" s="3" t="n">
        <v>1</v>
      </c>
      <c r="J157" s="7" t="s">
        <v>3</v>
      </c>
      <c r="K157" s="5"/>
    </row>
    <row r="158" customFormat="false" ht="15" hidden="false" customHeight="false" outlineLevel="0" collapsed="false">
      <c r="A158" s="5" t="s">
        <v>52</v>
      </c>
      <c r="B158" s="3" t="n">
        <v>7</v>
      </c>
      <c r="C158" s="5" t="s">
        <v>188</v>
      </c>
      <c r="D158" s="5" t="s">
        <v>105</v>
      </c>
      <c r="E158" s="3" t="s">
        <v>97</v>
      </c>
      <c r="F158" s="5" t="s">
        <v>231</v>
      </c>
      <c r="G158" s="3" t="s">
        <v>118</v>
      </c>
      <c r="H158" s="3" t="n">
        <v>2</v>
      </c>
      <c r="I158" s="3" t="n">
        <v>0</v>
      </c>
      <c r="J158" s="7" t="s">
        <v>3</v>
      </c>
      <c r="K158" s="5"/>
    </row>
    <row r="159" customFormat="false" ht="15" hidden="false" customHeight="false" outlineLevel="0" collapsed="false">
      <c r="A159" s="5" t="s">
        <v>52</v>
      </c>
      <c r="B159" s="3" t="n">
        <v>8</v>
      </c>
      <c r="C159" s="5" t="s">
        <v>202</v>
      </c>
      <c r="D159" s="5" t="s">
        <v>203</v>
      </c>
      <c r="E159" s="3" t="s">
        <v>97</v>
      </c>
      <c r="F159" s="5" t="s">
        <v>31</v>
      </c>
      <c r="G159" s="3" t="s">
        <v>121</v>
      </c>
      <c r="H159" s="3" t="n">
        <v>1</v>
      </c>
      <c r="I159" s="3" t="n">
        <v>0</v>
      </c>
      <c r="J159" s="7" t="s">
        <v>3</v>
      </c>
      <c r="K159" s="5" t="s">
        <v>264</v>
      </c>
    </row>
    <row r="160" customFormat="false" ht="15" hidden="false" customHeight="false" outlineLevel="0" collapsed="false">
      <c r="A160" s="5" t="s">
        <v>52</v>
      </c>
      <c r="B160" s="3" t="n">
        <v>9</v>
      </c>
      <c r="C160" s="5" t="s">
        <v>205</v>
      </c>
      <c r="D160" s="5" t="s">
        <v>206</v>
      </c>
      <c r="E160" s="3" t="s">
        <v>97</v>
      </c>
      <c r="F160" s="5" t="s">
        <v>77</v>
      </c>
      <c r="G160" s="3" t="s">
        <v>121</v>
      </c>
      <c r="H160" s="3" t="n">
        <v>1</v>
      </c>
      <c r="I160" s="3" t="n">
        <v>0</v>
      </c>
      <c r="J160" s="7" t="s">
        <v>3</v>
      </c>
      <c r="K160" s="5"/>
    </row>
    <row r="161" customFormat="false" ht="15" hidden="false" customHeight="false" outlineLevel="0" collapsed="false">
      <c r="A161" s="5" t="s">
        <v>52</v>
      </c>
      <c r="B161" s="3" t="n">
        <v>10</v>
      </c>
      <c r="C161" s="5" t="s">
        <v>209</v>
      </c>
      <c r="D161" s="5" t="s">
        <v>210</v>
      </c>
      <c r="E161" s="3" t="s">
        <v>97</v>
      </c>
      <c r="F161" s="5" t="s">
        <v>265</v>
      </c>
      <c r="G161" s="3" t="s">
        <v>121</v>
      </c>
      <c r="H161" s="3" t="n">
        <v>1</v>
      </c>
      <c r="I161" s="3" t="n">
        <v>0</v>
      </c>
      <c r="J161" s="7" t="s">
        <v>3</v>
      </c>
      <c r="K161" s="5"/>
    </row>
    <row r="162" customFormat="false" ht="15" hidden="false" customHeight="false" outlineLevel="0" collapsed="false">
      <c r="A162" s="5" t="s">
        <v>54</v>
      </c>
      <c r="B162" s="3" t="n">
        <v>1</v>
      </c>
      <c r="C162" s="5" t="s">
        <v>170</v>
      </c>
      <c r="D162" s="5" t="s">
        <v>96</v>
      </c>
      <c r="E162" s="3" t="s">
        <v>97</v>
      </c>
      <c r="F162" s="5" t="s">
        <v>197</v>
      </c>
      <c r="G162" s="3" t="s">
        <v>142</v>
      </c>
      <c r="H162" s="3" t="n">
        <v>3</v>
      </c>
      <c r="I162" s="3" t="n">
        <v>0</v>
      </c>
      <c r="J162" s="7" t="s">
        <v>3</v>
      </c>
      <c r="K162" s="5"/>
    </row>
    <row r="163" customFormat="false" ht="15" hidden="false" customHeight="false" outlineLevel="0" collapsed="false">
      <c r="A163" s="5" t="s">
        <v>54</v>
      </c>
      <c r="B163" s="3" t="n">
        <v>2</v>
      </c>
      <c r="C163" s="5" t="s">
        <v>123</v>
      </c>
      <c r="D163" s="5" t="s">
        <v>96</v>
      </c>
      <c r="E163" s="3" t="s">
        <v>97</v>
      </c>
      <c r="F163" s="5" t="s">
        <v>195</v>
      </c>
      <c r="G163" s="3" t="s">
        <v>142</v>
      </c>
      <c r="H163" s="3" t="n">
        <v>3</v>
      </c>
      <c r="I163" s="3" t="n">
        <v>0</v>
      </c>
      <c r="J163" s="7" t="s">
        <v>3</v>
      </c>
      <c r="K163" s="5"/>
    </row>
    <row r="164" customFormat="false" ht="15" hidden="false" customHeight="false" outlineLevel="0" collapsed="false">
      <c r="A164" s="5" t="s">
        <v>54</v>
      </c>
      <c r="B164" s="3" t="n">
        <v>3</v>
      </c>
      <c r="C164" s="5" t="s">
        <v>198</v>
      </c>
      <c r="D164" s="5" t="s">
        <v>96</v>
      </c>
      <c r="E164" s="3" t="s">
        <v>97</v>
      </c>
      <c r="F164" s="5" t="s">
        <v>31</v>
      </c>
      <c r="G164" s="3" t="s">
        <v>155</v>
      </c>
      <c r="H164" s="3" t="n">
        <v>1</v>
      </c>
      <c r="I164" s="3" t="n">
        <v>1</v>
      </c>
      <c r="J164" s="8" t="s">
        <v>4</v>
      </c>
      <c r="K164" s="5"/>
    </row>
    <row r="165" customFormat="false" ht="15" hidden="false" customHeight="false" outlineLevel="0" collapsed="false">
      <c r="A165" s="5" t="s">
        <v>54</v>
      </c>
      <c r="B165" s="3" t="n">
        <v>4</v>
      </c>
      <c r="C165" s="5" t="s">
        <v>104</v>
      </c>
      <c r="D165" s="5" t="s">
        <v>105</v>
      </c>
      <c r="E165" s="3" t="s">
        <v>97</v>
      </c>
      <c r="F165" s="5" t="s">
        <v>77</v>
      </c>
      <c r="G165" s="3" t="s">
        <v>100</v>
      </c>
      <c r="H165" s="3" t="n">
        <v>2</v>
      </c>
      <c r="I165" s="3" t="n">
        <v>1</v>
      </c>
      <c r="J165" s="7" t="s">
        <v>3</v>
      </c>
      <c r="K165" s="5"/>
    </row>
    <row r="166" customFormat="false" ht="15" hidden="false" customHeight="false" outlineLevel="0" collapsed="false">
      <c r="A166" s="5" t="s">
        <v>54</v>
      </c>
      <c r="B166" s="3" t="n">
        <v>5</v>
      </c>
      <c r="C166" s="5" t="s">
        <v>106</v>
      </c>
      <c r="D166" s="5" t="s">
        <v>105</v>
      </c>
      <c r="E166" s="3" t="s">
        <v>40</v>
      </c>
      <c r="F166" s="5" t="s">
        <v>177</v>
      </c>
      <c r="G166" s="3" t="s">
        <v>266</v>
      </c>
      <c r="H166" s="3" t="n">
        <v>6</v>
      </c>
      <c r="I166" s="3" t="n">
        <v>2</v>
      </c>
      <c r="J166" s="7" t="s">
        <v>3</v>
      </c>
      <c r="K166" s="5"/>
    </row>
    <row r="167" customFormat="false" ht="15" hidden="false" customHeight="false" outlineLevel="0" collapsed="false">
      <c r="A167" s="5" t="s">
        <v>54</v>
      </c>
      <c r="B167" s="3" t="n">
        <v>6</v>
      </c>
      <c r="C167" s="5" t="s">
        <v>129</v>
      </c>
      <c r="D167" s="5" t="s">
        <v>105</v>
      </c>
      <c r="E167" s="3" t="s">
        <v>97</v>
      </c>
      <c r="F167" s="5" t="s">
        <v>37</v>
      </c>
      <c r="G167" s="3" t="s">
        <v>144</v>
      </c>
      <c r="H167" s="3" t="n">
        <v>3</v>
      </c>
      <c r="I167" s="3" t="n">
        <v>1</v>
      </c>
      <c r="J167" s="7" t="s">
        <v>3</v>
      </c>
      <c r="K167" s="5"/>
    </row>
    <row r="168" customFormat="false" ht="15" hidden="false" customHeight="false" outlineLevel="0" collapsed="false">
      <c r="A168" s="5" t="s">
        <v>54</v>
      </c>
      <c r="B168" s="3" t="n">
        <v>7</v>
      </c>
      <c r="C168" s="5" t="s">
        <v>148</v>
      </c>
      <c r="D168" s="5" t="s">
        <v>105</v>
      </c>
      <c r="E168" s="3" t="s">
        <v>97</v>
      </c>
      <c r="F168" s="5" t="s">
        <v>17</v>
      </c>
      <c r="G168" s="3" t="s">
        <v>98</v>
      </c>
      <c r="H168" s="3" t="n">
        <v>1</v>
      </c>
      <c r="I168" s="3" t="n">
        <v>2</v>
      </c>
      <c r="J168" s="6" t="s">
        <v>5</v>
      </c>
      <c r="K168" s="5"/>
    </row>
    <row r="169" customFormat="false" ht="15" hidden="false" customHeight="false" outlineLevel="0" collapsed="false">
      <c r="A169" s="5" t="s">
        <v>54</v>
      </c>
      <c r="B169" s="3" t="n">
        <v>8</v>
      </c>
      <c r="C169" s="5" t="s">
        <v>131</v>
      </c>
      <c r="D169" s="5" t="s">
        <v>105</v>
      </c>
      <c r="E169" s="3" t="s">
        <v>97</v>
      </c>
      <c r="F169" s="5" t="s">
        <v>157</v>
      </c>
      <c r="G169" s="3" t="s">
        <v>155</v>
      </c>
      <c r="H169" s="3" t="n">
        <v>1</v>
      </c>
      <c r="I169" s="3" t="n">
        <v>1</v>
      </c>
      <c r="J169" s="8" t="s">
        <v>4</v>
      </c>
      <c r="K169" s="5"/>
    </row>
    <row r="170" customFormat="false" ht="15" hidden="false" customHeight="false" outlineLevel="0" collapsed="false">
      <c r="A170" s="5" t="s">
        <v>54</v>
      </c>
      <c r="B170" s="3" t="n">
        <v>9</v>
      </c>
      <c r="C170" s="5" t="s">
        <v>132</v>
      </c>
      <c r="D170" s="5" t="s">
        <v>105</v>
      </c>
      <c r="E170" s="3" t="s">
        <v>97</v>
      </c>
      <c r="F170" s="5" t="s">
        <v>52</v>
      </c>
      <c r="G170" s="3" t="s">
        <v>118</v>
      </c>
      <c r="H170" s="3" t="n">
        <v>2</v>
      </c>
      <c r="I170" s="3" t="n">
        <v>0</v>
      </c>
      <c r="J170" s="7" t="s">
        <v>3</v>
      </c>
      <c r="K170" s="5"/>
    </row>
    <row r="171" customFormat="false" ht="15" hidden="false" customHeight="false" outlineLevel="0" collapsed="false">
      <c r="A171" s="5" t="s">
        <v>54</v>
      </c>
      <c r="B171" s="3" t="n">
        <v>10</v>
      </c>
      <c r="C171" s="5" t="s">
        <v>133</v>
      </c>
      <c r="D171" s="5" t="s">
        <v>105</v>
      </c>
      <c r="E171" s="3" t="s">
        <v>24</v>
      </c>
      <c r="F171" s="5" t="s">
        <v>57</v>
      </c>
      <c r="G171" s="3" t="s">
        <v>244</v>
      </c>
      <c r="H171" s="3" t="n">
        <v>2</v>
      </c>
      <c r="I171" s="3" t="n">
        <v>3</v>
      </c>
      <c r="J171" s="6" t="s">
        <v>5</v>
      </c>
      <c r="K171" s="5"/>
    </row>
    <row r="172" customFormat="false" ht="15" hidden="false" customHeight="false" outlineLevel="0" collapsed="false">
      <c r="A172" s="5" t="s">
        <v>57</v>
      </c>
      <c r="B172" s="3" t="n">
        <v>1</v>
      </c>
      <c r="C172" s="5" t="s">
        <v>95</v>
      </c>
      <c r="D172" s="5" t="s">
        <v>96</v>
      </c>
      <c r="E172" s="3" t="s">
        <v>97</v>
      </c>
      <c r="F172" s="5" t="s">
        <v>20</v>
      </c>
      <c r="G172" s="3" t="s">
        <v>155</v>
      </c>
      <c r="H172" s="3" t="n">
        <v>1</v>
      </c>
      <c r="I172" s="3" t="n">
        <v>1</v>
      </c>
      <c r="J172" s="8" t="s">
        <v>4</v>
      </c>
      <c r="K172" s="5"/>
    </row>
    <row r="173" customFormat="false" ht="15" hidden="false" customHeight="false" outlineLevel="0" collapsed="false">
      <c r="A173" s="5" t="s">
        <v>57</v>
      </c>
      <c r="B173" s="3" t="n">
        <v>2</v>
      </c>
      <c r="C173" s="5" t="s">
        <v>99</v>
      </c>
      <c r="D173" s="5" t="s">
        <v>96</v>
      </c>
      <c r="E173" s="3" t="s">
        <v>97</v>
      </c>
      <c r="F173" s="5" t="s">
        <v>157</v>
      </c>
      <c r="G173" s="3" t="s">
        <v>108</v>
      </c>
      <c r="H173" s="3" t="n">
        <v>4</v>
      </c>
      <c r="I173" s="3" t="n">
        <v>0</v>
      </c>
      <c r="J173" s="7" t="s">
        <v>3</v>
      </c>
      <c r="K173" s="5"/>
    </row>
    <row r="174" customFormat="false" ht="15" hidden="false" customHeight="false" outlineLevel="0" collapsed="false">
      <c r="A174" s="5" t="s">
        <v>57</v>
      </c>
      <c r="B174" s="3" t="n">
        <v>3</v>
      </c>
      <c r="C174" s="5" t="s">
        <v>101</v>
      </c>
      <c r="D174" s="5" t="s">
        <v>96</v>
      </c>
      <c r="E174" s="3" t="s">
        <v>97</v>
      </c>
      <c r="F174" s="5" t="s">
        <v>29</v>
      </c>
      <c r="G174" s="3" t="s">
        <v>137</v>
      </c>
      <c r="H174" s="3" t="n">
        <v>2</v>
      </c>
      <c r="I174" s="3" t="n">
        <v>2</v>
      </c>
      <c r="J174" s="8" t="s">
        <v>4</v>
      </c>
      <c r="K174" s="5"/>
    </row>
    <row r="175" customFormat="false" ht="15" hidden="false" customHeight="false" outlineLevel="0" collapsed="false">
      <c r="A175" s="5" t="s">
        <v>57</v>
      </c>
      <c r="B175" s="3" t="n">
        <v>4</v>
      </c>
      <c r="C175" s="5" t="s">
        <v>106</v>
      </c>
      <c r="D175" s="5" t="s">
        <v>105</v>
      </c>
      <c r="E175" s="3" t="s">
        <v>97</v>
      </c>
      <c r="F175" s="5" t="s">
        <v>154</v>
      </c>
      <c r="G175" s="3" t="s">
        <v>121</v>
      </c>
      <c r="H175" s="3" t="n">
        <v>1</v>
      </c>
      <c r="I175" s="3" t="n">
        <v>0</v>
      </c>
      <c r="J175" s="7" t="s">
        <v>3</v>
      </c>
      <c r="K175" s="5"/>
    </row>
    <row r="176" customFormat="false" ht="15" hidden="false" customHeight="false" outlineLevel="0" collapsed="false">
      <c r="A176" s="5" t="s">
        <v>57</v>
      </c>
      <c r="B176" s="3" t="n">
        <v>5</v>
      </c>
      <c r="C176" s="5" t="s">
        <v>129</v>
      </c>
      <c r="D176" s="5" t="s">
        <v>105</v>
      </c>
      <c r="E176" s="3" t="s">
        <v>24</v>
      </c>
      <c r="F176" s="5" t="s">
        <v>67</v>
      </c>
      <c r="G176" s="3" t="s">
        <v>121</v>
      </c>
      <c r="H176" s="3" t="n">
        <v>1</v>
      </c>
      <c r="I176" s="3" t="n">
        <v>0</v>
      </c>
      <c r="J176" s="7" t="s">
        <v>3</v>
      </c>
      <c r="K176" s="5"/>
    </row>
    <row r="177" customFormat="false" ht="15" hidden="false" customHeight="false" outlineLevel="0" collapsed="false">
      <c r="A177" s="5" t="s">
        <v>57</v>
      </c>
      <c r="B177" s="3" t="n">
        <v>6</v>
      </c>
      <c r="C177" s="5" t="s">
        <v>188</v>
      </c>
      <c r="D177" s="5" t="s">
        <v>105</v>
      </c>
      <c r="E177" s="3" t="s">
        <v>24</v>
      </c>
      <c r="F177" s="5" t="s">
        <v>197</v>
      </c>
      <c r="G177" s="3" t="s">
        <v>121</v>
      </c>
      <c r="H177" s="3" t="n">
        <v>1</v>
      </c>
      <c r="I177" s="3" t="n">
        <v>0</v>
      </c>
      <c r="J177" s="7" t="s">
        <v>3</v>
      </c>
      <c r="K177" s="5"/>
    </row>
    <row r="178" customFormat="false" ht="15" hidden="false" customHeight="false" outlineLevel="0" collapsed="false">
      <c r="A178" s="5" t="s">
        <v>57</v>
      </c>
      <c r="B178" s="3" t="n">
        <v>7</v>
      </c>
      <c r="C178" s="5" t="s">
        <v>131</v>
      </c>
      <c r="D178" s="5" t="s">
        <v>105</v>
      </c>
      <c r="E178" s="3" t="s">
        <v>40</v>
      </c>
      <c r="F178" s="5" t="s">
        <v>267</v>
      </c>
      <c r="G178" s="3" t="s">
        <v>142</v>
      </c>
      <c r="H178" s="3" t="n">
        <v>3</v>
      </c>
      <c r="I178" s="3" t="n">
        <v>0</v>
      </c>
      <c r="J178" s="7" t="s">
        <v>3</v>
      </c>
      <c r="K178" s="5"/>
    </row>
    <row r="179" customFormat="false" ht="15" hidden="false" customHeight="false" outlineLevel="0" collapsed="false">
      <c r="A179" s="5" t="s">
        <v>57</v>
      </c>
      <c r="B179" s="3" t="n">
        <v>8</v>
      </c>
      <c r="C179" s="5" t="s">
        <v>116</v>
      </c>
      <c r="D179" s="5" t="s">
        <v>105</v>
      </c>
      <c r="E179" s="3" t="s">
        <v>40</v>
      </c>
      <c r="F179" s="5" t="s">
        <v>85</v>
      </c>
      <c r="G179" s="3" t="s">
        <v>118</v>
      </c>
      <c r="H179" s="3" t="n">
        <v>2</v>
      </c>
      <c r="I179" s="3" t="n">
        <v>0</v>
      </c>
      <c r="J179" s="7" t="s">
        <v>3</v>
      </c>
      <c r="K179" s="5"/>
    </row>
    <row r="180" customFormat="false" ht="15" hidden="false" customHeight="false" outlineLevel="0" collapsed="false">
      <c r="A180" s="5" t="s">
        <v>57</v>
      </c>
      <c r="B180" s="3" t="n">
        <v>9</v>
      </c>
      <c r="C180" s="5" t="s">
        <v>133</v>
      </c>
      <c r="D180" s="5" t="s">
        <v>105</v>
      </c>
      <c r="E180" s="3" t="s">
        <v>40</v>
      </c>
      <c r="F180" s="5" t="s">
        <v>54</v>
      </c>
      <c r="G180" s="3" t="s">
        <v>163</v>
      </c>
      <c r="H180" s="3" t="n">
        <v>3</v>
      </c>
      <c r="I180" s="3" t="n">
        <v>2</v>
      </c>
      <c r="J180" s="7" t="s">
        <v>3</v>
      </c>
      <c r="K180" s="5"/>
    </row>
    <row r="181" customFormat="false" ht="15" hidden="false" customHeight="false" outlineLevel="0" collapsed="false">
      <c r="A181" s="5" t="s">
        <v>57</v>
      </c>
      <c r="B181" s="3" t="n">
        <v>10</v>
      </c>
      <c r="C181" s="5" t="s">
        <v>136</v>
      </c>
      <c r="D181" s="5" t="s">
        <v>105</v>
      </c>
      <c r="E181" s="3" t="s">
        <v>40</v>
      </c>
      <c r="F181" s="5" t="s">
        <v>15</v>
      </c>
      <c r="G181" s="3" t="s">
        <v>137</v>
      </c>
      <c r="H181" s="3" t="n">
        <v>2</v>
      </c>
      <c r="I181" s="3" t="n">
        <v>2</v>
      </c>
      <c r="J181" s="8" t="s">
        <v>4</v>
      </c>
      <c r="K181" s="5"/>
    </row>
    <row r="182" customFormat="false" ht="15" hidden="false" customHeight="false" outlineLevel="0" collapsed="false">
      <c r="A182" s="5" t="s">
        <v>59</v>
      </c>
      <c r="B182" s="3" t="n">
        <v>1</v>
      </c>
      <c r="C182" s="5" t="s">
        <v>95</v>
      </c>
      <c r="D182" s="5" t="s">
        <v>96</v>
      </c>
      <c r="E182" s="3" t="s">
        <v>97</v>
      </c>
      <c r="F182" s="5" t="s">
        <v>102</v>
      </c>
      <c r="G182" s="3" t="s">
        <v>118</v>
      </c>
      <c r="H182" s="3" t="n">
        <v>2</v>
      </c>
      <c r="I182" s="3" t="n">
        <v>0</v>
      </c>
      <c r="J182" s="7" t="s">
        <v>3</v>
      </c>
      <c r="K182" s="5"/>
    </row>
    <row r="183" customFormat="false" ht="15" hidden="false" customHeight="false" outlineLevel="0" collapsed="false">
      <c r="A183" s="5" t="s">
        <v>59</v>
      </c>
      <c r="B183" s="3" t="n">
        <v>2</v>
      </c>
      <c r="C183" s="5" t="s">
        <v>99</v>
      </c>
      <c r="D183" s="5" t="s">
        <v>96</v>
      </c>
      <c r="E183" s="3" t="s">
        <v>97</v>
      </c>
      <c r="F183" s="5" t="s">
        <v>11</v>
      </c>
      <c r="G183" s="3" t="s">
        <v>98</v>
      </c>
      <c r="H183" s="3" t="n">
        <v>1</v>
      </c>
      <c r="I183" s="3" t="n">
        <v>2</v>
      </c>
      <c r="J183" s="6" t="s">
        <v>5</v>
      </c>
      <c r="K183" s="5"/>
    </row>
    <row r="184" customFormat="false" ht="15" hidden="false" customHeight="false" outlineLevel="0" collapsed="false">
      <c r="A184" s="5" t="s">
        <v>59</v>
      </c>
      <c r="B184" s="3" t="n">
        <v>3</v>
      </c>
      <c r="C184" s="5" t="s">
        <v>101</v>
      </c>
      <c r="D184" s="5" t="s">
        <v>96</v>
      </c>
      <c r="E184" s="3" t="s">
        <v>97</v>
      </c>
      <c r="F184" s="5" t="s">
        <v>65</v>
      </c>
      <c r="G184" s="3" t="s">
        <v>121</v>
      </c>
      <c r="H184" s="3" t="n">
        <v>1</v>
      </c>
      <c r="I184" s="3" t="n">
        <v>0</v>
      </c>
      <c r="J184" s="7" t="s">
        <v>3</v>
      </c>
      <c r="K184" s="5"/>
    </row>
    <row r="185" customFormat="false" ht="15" hidden="false" customHeight="false" outlineLevel="0" collapsed="false">
      <c r="A185" s="5" t="s">
        <v>59</v>
      </c>
      <c r="B185" s="3" t="n">
        <v>4</v>
      </c>
      <c r="C185" s="5" t="s">
        <v>146</v>
      </c>
      <c r="D185" s="5" t="s">
        <v>105</v>
      </c>
      <c r="E185" s="3" t="s">
        <v>24</v>
      </c>
      <c r="F185" s="5" t="s">
        <v>17</v>
      </c>
      <c r="G185" s="3" t="s">
        <v>100</v>
      </c>
      <c r="H185" s="3" t="n">
        <v>2</v>
      </c>
      <c r="I185" s="3" t="n">
        <v>1</v>
      </c>
      <c r="J185" s="7" t="s">
        <v>3</v>
      </c>
      <c r="K185" s="5"/>
    </row>
    <row r="186" customFormat="false" ht="15" hidden="false" customHeight="false" outlineLevel="0" collapsed="false">
      <c r="A186" s="5" t="s">
        <v>59</v>
      </c>
      <c r="B186" s="3" t="n">
        <v>5</v>
      </c>
      <c r="C186" s="5" t="s">
        <v>129</v>
      </c>
      <c r="D186" s="5" t="s">
        <v>105</v>
      </c>
      <c r="E186" s="3" t="s">
        <v>97</v>
      </c>
      <c r="F186" s="5" t="s">
        <v>197</v>
      </c>
      <c r="G186" s="3" t="s">
        <v>121</v>
      </c>
      <c r="H186" s="3" t="n">
        <v>1</v>
      </c>
      <c r="I186" s="3" t="n">
        <v>0</v>
      </c>
      <c r="J186" s="7" t="s">
        <v>3</v>
      </c>
      <c r="K186" s="5"/>
    </row>
    <row r="187" customFormat="false" ht="15" hidden="false" customHeight="false" outlineLevel="0" collapsed="false">
      <c r="A187" s="5" t="s">
        <v>59</v>
      </c>
      <c r="B187" s="3" t="n">
        <v>6</v>
      </c>
      <c r="C187" s="5" t="s">
        <v>188</v>
      </c>
      <c r="D187" s="5" t="s">
        <v>105</v>
      </c>
      <c r="E187" s="3" t="s">
        <v>97</v>
      </c>
      <c r="F187" s="5" t="s">
        <v>134</v>
      </c>
      <c r="G187" s="3" t="s">
        <v>108</v>
      </c>
      <c r="H187" s="3" t="n">
        <v>4</v>
      </c>
      <c r="I187" s="3" t="n">
        <v>0</v>
      </c>
      <c r="J187" s="7" t="s">
        <v>3</v>
      </c>
      <c r="K187" s="5"/>
    </row>
    <row r="188" customFormat="false" ht="15" hidden="false" customHeight="false" outlineLevel="0" collapsed="false">
      <c r="A188" s="5" t="s">
        <v>59</v>
      </c>
      <c r="B188" s="3" t="n">
        <v>7</v>
      </c>
      <c r="C188" s="5" t="s">
        <v>268</v>
      </c>
      <c r="D188" s="5" t="s">
        <v>210</v>
      </c>
      <c r="E188" s="3" t="s">
        <v>97</v>
      </c>
      <c r="F188" s="5" t="s">
        <v>77</v>
      </c>
      <c r="G188" s="3" t="s">
        <v>244</v>
      </c>
      <c r="H188" s="3" t="n">
        <v>2</v>
      </c>
      <c r="I188" s="3" t="n">
        <v>3</v>
      </c>
      <c r="J188" s="6" t="s">
        <v>5</v>
      </c>
      <c r="K188" s="5"/>
    </row>
    <row r="189" customFormat="false" ht="15" hidden="false" customHeight="false" outlineLevel="0" collapsed="false">
      <c r="A189" s="5" t="s">
        <v>59</v>
      </c>
      <c r="B189" s="3" t="n">
        <v>8</v>
      </c>
      <c r="C189" s="5" t="s">
        <v>269</v>
      </c>
      <c r="D189" s="5" t="s">
        <v>179</v>
      </c>
      <c r="E189" s="3" t="s">
        <v>97</v>
      </c>
      <c r="F189" s="5" t="s">
        <v>270</v>
      </c>
      <c r="G189" s="3" t="s">
        <v>142</v>
      </c>
      <c r="H189" s="3" t="n">
        <v>3</v>
      </c>
      <c r="I189" s="3" t="n">
        <v>0</v>
      </c>
      <c r="J189" s="7" t="s">
        <v>3</v>
      </c>
      <c r="K189" s="5"/>
    </row>
    <row r="190" customFormat="false" ht="15" hidden="false" customHeight="false" outlineLevel="0" collapsed="false">
      <c r="A190" s="5" t="s">
        <v>59</v>
      </c>
      <c r="B190" s="3" t="n">
        <v>9</v>
      </c>
      <c r="C190" s="5" t="s">
        <v>271</v>
      </c>
      <c r="D190" s="5" t="s">
        <v>182</v>
      </c>
      <c r="E190" s="3" t="s">
        <v>97</v>
      </c>
      <c r="F190" s="5" t="s">
        <v>272</v>
      </c>
      <c r="G190" s="3" t="s">
        <v>163</v>
      </c>
      <c r="H190" s="3" t="n">
        <v>3</v>
      </c>
      <c r="I190" s="3" t="n">
        <v>2</v>
      </c>
      <c r="J190" s="7" t="s">
        <v>3</v>
      </c>
      <c r="K190" s="5"/>
    </row>
    <row r="191" customFormat="false" ht="15" hidden="false" customHeight="false" outlineLevel="0" collapsed="false">
      <c r="A191" s="5" t="s">
        <v>59</v>
      </c>
      <c r="B191" s="3" t="n">
        <v>10</v>
      </c>
      <c r="C191" s="5" t="s">
        <v>273</v>
      </c>
      <c r="D191" s="5" t="s">
        <v>182</v>
      </c>
      <c r="E191" s="3" t="s">
        <v>97</v>
      </c>
      <c r="F191" s="5" t="s">
        <v>180</v>
      </c>
      <c r="G191" s="3" t="s">
        <v>155</v>
      </c>
      <c r="H191" s="3" t="n">
        <v>1</v>
      </c>
      <c r="I191" s="3" t="n">
        <v>1</v>
      </c>
      <c r="J191" s="8" t="s">
        <v>4</v>
      </c>
      <c r="K191" s="5"/>
    </row>
    <row r="192" customFormat="false" ht="15" hidden="false" customHeight="false" outlineLevel="0" collapsed="false">
      <c r="A192" s="5" t="s">
        <v>61</v>
      </c>
      <c r="B192" s="3" t="n">
        <v>1</v>
      </c>
      <c r="C192" s="5" t="s">
        <v>138</v>
      </c>
      <c r="D192" s="5" t="s">
        <v>96</v>
      </c>
      <c r="E192" s="3" t="s">
        <v>97</v>
      </c>
      <c r="F192" s="5" t="s">
        <v>17</v>
      </c>
      <c r="G192" s="3" t="s">
        <v>126</v>
      </c>
      <c r="H192" s="3" t="n">
        <v>1</v>
      </c>
      <c r="I192" s="3" t="n">
        <v>4</v>
      </c>
      <c r="J192" s="6" t="s">
        <v>5</v>
      </c>
      <c r="K192" s="5"/>
    </row>
    <row r="193" customFormat="false" ht="15" hidden="false" customHeight="false" outlineLevel="0" collapsed="false">
      <c r="A193" s="5" t="s">
        <v>61</v>
      </c>
      <c r="B193" s="3" t="n">
        <v>2</v>
      </c>
      <c r="C193" s="5" t="s">
        <v>140</v>
      </c>
      <c r="D193" s="5" t="s">
        <v>96</v>
      </c>
      <c r="E193" s="3" t="s">
        <v>97</v>
      </c>
      <c r="F193" s="5" t="s">
        <v>52</v>
      </c>
      <c r="G193" s="3" t="s">
        <v>163</v>
      </c>
      <c r="H193" s="3" t="n">
        <v>3</v>
      </c>
      <c r="I193" s="3" t="n">
        <v>2</v>
      </c>
      <c r="J193" s="7" t="s">
        <v>3</v>
      </c>
      <c r="K193" s="5"/>
    </row>
    <row r="194" customFormat="false" ht="15" hidden="false" customHeight="false" outlineLevel="0" collapsed="false">
      <c r="A194" s="5" t="s">
        <v>61</v>
      </c>
      <c r="B194" s="3" t="n">
        <v>3</v>
      </c>
      <c r="C194" s="5" t="s">
        <v>143</v>
      </c>
      <c r="D194" s="5" t="s">
        <v>96</v>
      </c>
      <c r="E194" s="3" t="s">
        <v>97</v>
      </c>
      <c r="F194" s="5" t="s">
        <v>141</v>
      </c>
      <c r="G194" s="3" t="s">
        <v>139</v>
      </c>
      <c r="H194" s="3" t="n">
        <v>4</v>
      </c>
      <c r="I194" s="3" t="n">
        <v>1</v>
      </c>
      <c r="J194" s="7" t="s">
        <v>3</v>
      </c>
      <c r="K194" s="5"/>
    </row>
    <row r="195" customFormat="false" ht="15" hidden="false" customHeight="false" outlineLevel="0" collapsed="false">
      <c r="A195" s="5" t="s">
        <v>61</v>
      </c>
      <c r="B195" s="3" t="n">
        <v>4</v>
      </c>
      <c r="C195" s="5" t="s">
        <v>199</v>
      </c>
      <c r="D195" s="5" t="s">
        <v>105</v>
      </c>
      <c r="E195" s="3" t="s">
        <v>97</v>
      </c>
      <c r="F195" s="5" t="s">
        <v>31</v>
      </c>
      <c r="G195" s="3" t="s">
        <v>155</v>
      </c>
      <c r="H195" s="3" t="n">
        <v>1</v>
      </c>
      <c r="I195" s="3" t="n">
        <v>1</v>
      </c>
      <c r="J195" s="8" t="s">
        <v>4</v>
      </c>
      <c r="K195" s="5"/>
    </row>
    <row r="196" customFormat="false" ht="15" hidden="false" customHeight="false" outlineLevel="0" collapsed="false">
      <c r="A196" s="5" t="s">
        <v>61</v>
      </c>
      <c r="B196" s="3" t="n">
        <v>5</v>
      </c>
      <c r="C196" s="5" t="s">
        <v>159</v>
      </c>
      <c r="D196" s="5" t="s">
        <v>105</v>
      </c>
      <c r="E196" s="3" t="s">
        <v>40</v>
      </c>
      <c r="F196" s="5" t="s">
        <v>20</v>
      </c>
      <c r="G196" s="3" t="s">
        <v>144</v>
      </c>
      <c r="H196" s="3" t="n">
        <v>3</v>
      </c>
      <c r="I196" s="3" t="n">
        <v>1</v>
      </c>
      <c r="J196" s="7" t="s">
        <v>3</v>
      </c>
      <c r="K196" s="5"/>
    </row>
    <row r="197" customFormat="false" ht="15" hidden="false" customHeight="false" outlineLevel="0" collapsed="false">
      <c r="A197" s="5" t="s">
        <v>61</v>
      </c>
      <c r="B197" s="3" t="n">
        <v>6</v>
      </c>
      <c r="C197" s="5" t="s">
        <v>150</v>
      </c>
      <c r="D197" s="5" t="s">
        <v>113</v>
      </c>
      <c r="E197" s="3" t="s">
        <v>24</v>
      </c>
      <c r="F197" s="5" t="s">
        <v>249</v>
      </c>
      <c r="G197" s="3" t="s">
        <v>139</v>
      </c>
      <c r="H197" s="3" t="n">
        <v>4</v>
      </c>
      <c r="I197" s="3" t="n">
        <v>1</v>
      </c>
      <c r="J197" s="7" t="s">
        <v>3</v>
      </c>
      <c r="K197" s="5"/>
    </row>
    <row r="198" customFormat="false" ht="15" hidden="false" customHeight="false" outlineLevel="0" collapsed="false">
      <c r="A198" s="5" t="s">
        <v>61</v>
      </c>
      <c r="B198" s="3" t="n">
        <v>7</v>
      </c>
      <c r="C198" s="5" t="s">
        <v>152</v>
      </c>
      <c r="D198" s="5" t="s">
        <v>113</v>
      </c>
      <c r="E198" s="3" t="s">
        <v>40</v>
      </c>
      <c r="F198" s="5" t="s">
        <v>274</v>
      </c>
      <c r="G198" s="3" t="s">
        <v>139</v>
      </c>
      <c r="H198" s="3" t="n">
        <v>4</v>
      </c>
      <c r="I198" s="3" t="n">
        <v>1</v>
      </c>
      <c r="J198" s="7" t="s">
        <v>3</v>
      </c>
      <c r="K198" s="5"/>
    </row>
    <row r="199" customFormat="false" ht="15" hidden="false" customHeight="false" outlineLevel="0" collapsed="false">
      <c r="A199" s="5" t="s">
        <v>61</v>
      </c>
      <c r="B199" s="3" t="n">
        <v>8</v>
      </c>
      <c r="C199" s="5" t="s">
        <v>220</v>
      </c>
      <c r="D199" s="5" t="s">
        <v>113</v>
      </c>
      <c r="E199" s="3" t="s">
        <v>40</v>
      </c>
      <c r="F199" s="5" t="s">
        <v>275</v>
      </c>
      <c r="G199" s="3" t="s">
        <v>213</v>
      </c>
      <c r="H199" s="3" t="n">
        <v>5</v>
      </c>
      <c r="I199" s="3" t="n">
        <v>0</v>
      </c>
      <c r="J199" s="7" t="s">
        <v>3</v>
      </c>
      <c r="K199" s="5"/>
    </row>
    <row r="200" customFormat="false" ht="15" hidden="false" customHeight="false" outlineLevel="0" collapsed="false">
      <c r="A200" s="5" t="s">
        <v>61</v>
      </c>
      <c r="B200" s="3" t="n">
        <v>9</v>
      </c>
      <c r="C200" s="5" t="s">
        <v>221</v>
      </c>
      <c r="D200" s="5" t="s">
        <v>113</v>
      </c>
      <c r="E200" s="3" t="s">
        <v>40</v>
      </c>
      <c r="F200" s="5" t="s">
        <v>276</v>
      </c>
      <c r="G200" s="3" t="s">
        <v>277</v>
      </c>
      <c r="H200" s="3" t="n">
        <v>11</v>
      </c>
      <c r="I200" s="3" t="n">
        <v>1</v>
      </c>
      <c r="J200" s="7" t="s">
        <v>3</v>
      </c>
      <c r="K200" s="5"/>
    </row>
    <row r="201" customFormat="false" ht="15" hidden="false" customHeight="false" outlineLevel="0" collapsed="false">
      <c r="A201" s="5" t="s">
        <v>61</v>
      </c>
      <c r="B201" s="3" t="n">
        <v>10</v>
      </c>
      <c r="C201" s="5" t="s">
        <v>278</v>
      </c>
      <c r="D201" s="5" t="s">
        <v>113</v>
      </c>
      <c r="E201" s="3" t="s">
        <v>24</v>
      </c>
      <c r="F201" s="5" t="s">
        <v>274</v>
      </c>
      <c r="G201" s="3" t="s">
        <v>121</v>
      </c>
      <c r="H201" s="3" t="n">
        <v>1</v>
      </c>
      <c r="I201" s="3" t="n">
        <v>0</v>
      </c>
      <c r="J201" s="7" t="s">
        <v>3</v>
      </c>
      <c r="K201" s="5"/>
    </row>
    <row r="202" customFormat="false" ht="15" hidden="false" customHeight="false" outlineLevel="0" collapsed="false">
      <c r="A202" s="5" t="s">
        <v>63</v>
      </c>
      <c r="B202" s="3" t="n">
        <v>1</v>
      </c>
      <c r="C202" s="5" t="s">
        <v>170</v>
      </c>
      <c r="D202" s="5" t="s">
        <v>96</v>
      </c>
      <c r="E202" s="3" t="s">
        <v>40</v>
      </c>
      <c r="F202" s="5" t="s">
        <v>172</v>
      </c>
      <c r="G202" s="3" t="s">
        <v>142</v>
      </c>
      <c r="H202" s="3" t="n">
        <v>3</v>
      </c>
      <c r="I202" s="3" t="n">
        <v>0</v>
      </c>
      <c r="J202" s="7" t="s">
        <v>3</v>
      </c>
      <c r="K202" s="5" t="s">
        <v>245</v>
      </c>
    </row>
    <row r="203" customFormat="false" ht="15" hidden="false" customHeight="false" outlineLevel="0" collapsed="false">
      <c r="A203" s="5" t="s">
        <v>63</v>
      </c>
      <c r="B203" s="3" t="n">
        <v>2</v>
      </c>
      <c r="C203" s="5" t="s">
        <v>171</v>
      </c>
      <c r="D203" s="5" t="s">
        <v>96</v>
      </c>
      <c r="E203" s="3" t="s">
        <v>40</v>
      </c>
      <c r="F203" s="5" t="s">
        <v>134</v>
      </c>
      <c r="G203" s="3" t="s">
        <v>121</v>
      </c>
      <c r="H203" s="3" t="n">
        <v>1</v>
      </c>
      <c r="I203" s="3" t="n">
        <v>0</v>
      </c>
      <c r="J203" s="7" t="s">
        <v>3</v>
      </c>
      <c r="K203" s="5" t="s">
        <v>245</v>
      </c>
    </row>
    <row r="204" customFormat="false" ht="15" hidden="false" customHeight="false" outlineLevel="0" collapsed="false">
      <c r="A204" s="5" t="s">
        <v>63</v>
      </c>
      <c r="B204" s="3" t="n">
        <v>3</v>
      </c>
      <c r="C204" s="5" t="s">
        <v>173</v>
      </c>
      <c r="D204" s="5" t="s">
        <v>96</v>
      </c>
      <c r="E204" s="3" t="s">
        <v>40</v>
      </c>
      <c r="F204" s="5" t="s">
        <v>23</v>
      </c>
      <c r="G204" s="3" t="s">
        <v>118</v>
      </c>
      <c r="H204" s="3" t="n">
        <v>2</v>
      </c>
      <c r="I204" s="3" t="n">
        <v>0</v>
      </c>
      <c r="J204" s="7" t="s">
        <v>3</v>
      </c>
      <c r="K204" s="5" t="s">
        <v>245</v>
      </c>
    </row>
    <row r="205" customFormat="false" ht="15" hidden="false" customHeight="false" outlineLevel="0" collapsed="false">
      <c r="A205" s="5" t="s">
        <v>63</v>
      </c>
      <c r="B205" s="3" t="n">
        <v>4</v>
      </c>
      <c r="C205" s="5" t="s">
        <v>146</v>
      </c>
      <c r="D205" s="5" t="s">
        <v>105</v>
      </c>
      <c r="E205" s="3" t="s">
        <v>40</v>
      </c>
      <c r="F205" s="5" t="s">
        <v>233</v>
      </c>
      <c r="G205" s="3" t="s">
        <v>158</v>
      </c>
      <c r="H205" s="3" t="n">
        <v>5</v>
      </c>
      <c r="I205" s="3" t="n">
        <v>1</v>
      </c>
      <c r="J205" s="7" t="s">
        <v>3</v>
      </c>
      <c r="K205" s="5"/>
    </row>
    <row r="206" customFormat="false" ht="15" hidden="false" customHeight="false" outlineLevel="0" collapsed="false">
      <c r="A206" s="5" t="s">
        <v>63</v>
      </c>
      <c r="B206" s="3" t="n">
        <v>5</v>
      </c>
      <c r="C206" s="5" t="s">
        <v>279</v>
      </c>
      <c r="D206" s="5" t="s">
        <v>105</v>
      </c>
      <c r="E206" s="3" t="s">
        <v>97</v>
      </c>
      <c r="F206" s="5" t="s">
        <v>75</v>
      </c>
      <c r="G206" s="3" t="s">
        <v>121</v>
      </c>
      <c r="H206" s="3" t="n">
        <v>1</v>
      </c>
      <c r="I206" s="3" t="n">
        <v>0</v>
      </c>
      <c r="J206" s="7" t="s">
        <v>3</v>
      </c>
      <c r="K206" s="5"/>
    </row>
    <row r="207" customFormat="false" ht="15" hidden="false" customHeight="false" outlineLevel="0" collapsed="false">
      <c r="A207" s="5" t="s">
        <v>63</v>
      </c>
      <c r="B207" s="3" t="n">
        <v>6</v>
      </c>
      <c r="C207" s="5" t="s">
        <v>129</v>
      </c>
      <c r="D207" s="5" t="s">
        <v>105</v>
      </c>
      <c r="E207" s="3" t="s">
        <v>97</v>
      </c>
      <c r="F207" s="5" t="s">
        <v>49</v>
      </c>
      <c r="G207" s="3" t="s">
        <v>155</v>
      </c>
      <c r="H207" s="3" t="n">
        <v>1</v>
      </c>
      <c r="I207" s="3" t="n">
        <v>1</v>
      </c>
      <c r="J207" s="8" t="s">
        <v>4</v>
      </c>
      <c r="K207" s="5" t="s">
        <v>280</v>
      </c>
    </row>
    <row r="208" customFormat="false" ht="15" hidden="false" customHeight="false" outlineLevel="0" collapsed="false">
      <c r="A208" s="5" t="s">
        <v>63</v>
      </c>
      <c r="B208" s="3" t="n">
        <v>7</v>
      </c>
      <c r="C208" s="5" t="s">
        <v>188</v>
      </c>
      <c r="D208" s="5" t="s">
        <v>105</v>
      </c>
      <c r="E208" s="3" t="s">
        <v>40</v>
      </c>
      <c r="F208" s="5" t="s">
        <v>34</v>
      </c>
      <c r="G208" s="3" t="s">
        <v>122</v>
      </c>
      <c r="H208" s="3" t="n">
        <v>0</v>
      </c>
      <c r="I208" s="3" t="n">
        <v>0</v>
      </c>
      <c r="J208" s="8" t="s">
        <v>4</v>
      </c>
      <c r="K208" s="5"/>
    </row>
    <row r="209" customFormat="false" ht="15" hidden="false" customHeight="false" outlineLevel="0" collapsed="false">
      <c r="A209" s="5" t="s">
        <v>63</v>
      </c>
      <c r="B209" s="3" t="n">
        <v>8</v>
      </c>
      <c r="C209" s="5" t="s">
        <v>281</v>
      </c>
      <c r="D209" s="5" t="s">
        <v>105</v>
      </c>
      <c r="E209" s="3" t="s">
        <v>24</v>
      </c>
      <c r="F209" s="5" t="s">
        <v>267</v>
      </c>
      <c r="G209" s="3" t="s">
        <v>121</v>
      </c>
      <c r="H209" s="3" t="n">
        <v>1</v>
      </c>
      <c r="I209" s="3" t="n">
        <v>0</v>
      </c>
      <c r="J209" s="7" t="s">
        <v>3</v>
      </c>
      <c r="K209" s="5"/>
    </row>
    <row r="210" customFormat="false" ht="15" hidden="false" customHeight="false" outlineLevel="0" collapsed="false">
      <c r="A210" s="5" t="s">
        <v>63</v>
      </c>
      <c r="B210" s="3" t="n">
        <v>9</v>
      </c>
      <c r="C210" s="5" t="s">
        <v>282</v>
      </c>
      <c r="D210" s="5" t="s">
        <v>105</v>
      </c>
      <c r="E210" s="3" t="s">
        <v>24</v>
      </c>
      <c r="F210" s="5" t="s">
        <v>177</v>
      </c>
      <c r="G210" s="3" t="s">
        <v>121</v>
      </c>
      <c r="H210" s="3" t="n">
        <v>1</v>
      </c>
      <c r="I210" s="3" t="n">
        <v>0</v>
      </c>
      <c r="J210" s="7" t="s">
        <v>3</v>
      </c>
      <c r="K210" s="5"/>
    </row>
    <row r="211" customFormat="false" ht="15" hidden="false" customHeight="false" outlineLevel="0" collapsed="false">
      <c r="A211" s="5" t="s">
        <v>63</v>
      </c>
      <c r="B211" s="3" t="n">
        <v>10</v>
      </c>
      <c r="C211" s="5" t="s">
        <v>132</v>
      </c>
      <c r="D211" s="5" t="s">
        <v>105</v>
      </c>
      <c r="E211" s="3" t="s">
        <v>97</v>
      </c>
      <c r="F211" s="5" t="s">
        <v>227</v>
      </c>
      <c r="G211" s="3" t="s">
        <v>122</v>
      </c>
      <c r="H211" s="3" t="n">
        <v>0</v>
      </c>
      <c r="I211" s="3" t="n">
        <v>0</v>
      </c>
      <c r="J211" s="8" t="s">
        <v>4</v>
      </c>
      <c r="K211" s="5" t="s">
        <v>283</v>
      </c>
    </row>
    <row r="212" customFormat="false" ht="15" hidden="false" customHeight="false" outlineLevel="0" collapsed="false">
      <c r="A212" s="5" t="s">
        <v>65</v>
      </c>
      <c r="B212" s="3" t="n">
        <v>1</v>
      </c>
      <c r="C212" s="5" t="s">
        <v>95</v>
      </c>
      <c r="D212" s="5" t="s">
        <v>96</v>
      </c>
      <c r="E212" s="3" t="s">
        <v>97</v>
      </c>
      <c r="F212" s="5" t="s">
        <v>11</v>
      </c>
      <c r="G212" s="3" t="s">
        <v>100</v>
      </c>
      <c r="H212" s="3" t="n">
        <v>2</v>
      </c>
      <c r="I212" s="3" t="n">
        <v>1</v>
      </c>
      <c r="J212" s="7" t="s">
        <v>3</v>
      </c>
      <c r="K212" s="5"/>
    </row>
    <row r="213" customFormat="false" ht="15" hidden="false" customHeight="false" outlineLevel="0" collapsed="false">
      <c r="A213" s="5" t="s">
        <v>65</v>
      </c>
      <c r="B213" s="3" t="n">
        <v>2</v>
      </c>
      <c r="C213" s="5" t="s">
        <v>99</v>
      </c>
      <c r="D213" s="5" t="s">
        <v>96</v>
      </c>
      <c r="E213" s="3" t="s">
        <v>97</v>
      </c>
      <c r="F213" s="5" t="s">
        <v>102</v>
      </c>
      <c r="G213" s="3" t="s">
        <v>122</v>
      </c>
      <c r="H213" s="3" t="n">
        <v>0</v>
      </c>
      <c r="I213" s="3" t="n">
        <v>0</v>
      </c>
      <c r="J213" s="8" t="s">
        <v>4</v>
      </c>
      <c r="K213" s="5"/>
    </row>
    <row r="214" customFormat="false" ht="15" hidden="false" customHeight="false" outlineLevel="0" collapsed="false">
      <c r="A214" s="5" t="s">
        <v>65</v>
      </c>
      <c r="B214" s="3" t="n">
        <v>3</v>
      </c>
      <c r="C214" s="5" t="s">
        <v>101</v>
      </c>
      <c r="D214" s="5" t="s">
        <v>96</v>
      </c>
      <c r="E214" s="3" t="s">
        <v>97</v>
      </c>
      <c r="F214" s="5" t="s">
        <v>59</v>
      </c>
      <c r="G214" s="3" t="s">
        <v>168</v>
      </c>
      <c r="H214" s="3" t="n">
        <v>0</v>
      </c>
      <c r="I214" s="3" t="n">
        <v>1</v>
      </c>
      <c r="J214" s="6" t="s">
        <v>5</v>
      </c>
      <c r="K214" s="5"/>
    </row>
    <row r="215" customFormat="false" ht="15" hidden="false" customHeight="false" outlineLevel="0" collapsed="false">
      <c r="A215" s="5" t="s">
        <v>65</v>
      </c>
      <c r="B215" s="3" t="n">
        <v>4</v>
      </c>
      <c r="C215" s="5" t="s">
        <v>129</v>
      </c>
      <c r="D215" s="5" t="s">
        <v>105</v>
      </c>
      <c r="E215" s="3" t="s">
        <v>24</v>
      </c>
      <c r="F215" s="5" t="s">
        <v>29</v>
      </c>
      <c r="G215" s="3" t="s">
        <v>155</v>
      </c>
      <c r="H215" s="3" t="n">
        <v>1</v>
      </c>
      <c r="I215" s="3" t="n">
        <v>1</v>
      </c>
      <c r="J215" s="8" t="s">
        <v>4</v>
      </c>
      <c r="K215" s="5"/>
    </row>
    <row r="216" customFormat="false" ht="15" hidden="false" customHeight="false" outlineLevel="0" collapsed="false">
      <c r="A216" s="5" t="s">
        <v>65</v>
      </c>
      <c r="B216" s="3" t="n">
        <v>5</v>
      </c>
      <c r="C216" s="5" t="s">
        <v>110</v>
      </c>
      <c r="D216" s="5" t="s">
        <v>105</v>
      </c>
      <c r="E216" s="3" t="s">
        <v>97</v>
      </c>
      <c r="F216" s="5" t="s">
        <v>31</v>
      </c>
      <c r="G216" s="3" t="s">
        <v>155</v>
      </c>
      <c r="H216" s="3" t="n">
        <v>1</v>
      </c>
      <c r="I216" s="3" t="n">
        <v>1</v>
      </c>
      <c r="J216" s="8" t="s">
        <v>4</v>
      </c>
      <c r="K216" s="5"/>
    </row>
    <row r="217" customFormat="false" ht="15" hidden="false" customHeight="false" outlineLevel="0" collapsed="false">
      <c r="A217" s="5" t="s">
        <v>65</v>
      </c>
      <c r="B217" s="3" t="n">
        <v>6</v>
      </c>
      <c r="C217" s="5" t="s">
        <v>131</v>
      </c>
      <c r="D217" s="5" t="s">
        <v>105</v>
      </c>
      <c r="E217" s="3" t="s">
        <v>97</v>
      </c>
      <c r="F217" s="5" t="s">
        <v>254</v>
      </c>
      <c r="G217" s="3" t="s">
        <v>118</v>
      </c>
      <c r="H217" s="3" t="n">
        <v>2</v>
      </c>
      <c r="I217" s="3" t="n">
        <v>0</v>
      </c>
      <c r="J217" s="7" t="s">
        <v>3</v>
      </c>
      <c r="K217" s="5"/>
    </row>
    <row r="218" customFormat="false" ht="15" hidden="false" customHeight="false" outlineLevel="0" collapsed="false">
      <c r="A218" s="5" t="s">
        <v>65</v>
      </c>
      <c r="B218" s="3" t="n">
        <v>7</v>
      </c>
      <c r="C218" s="5" t="s">
        <v>152</v>
      </c>
      <c r="D218" s="5" t="s">
        <v>105</v>
      </c>
      <c r="E218" s="3" t="s">
        <v>24</v>
      </c>
      <c r="F218" s="5" t="s">
        <v>26</v>
      </c>
      <c r="G218" s="3" t="s">
        <v>122</v>
      </c>
      <c r="H218" s="3" t="n">
        <v>0</v>
      </c>
      <c r="I218" s="3" t="n">
        <v>0</v>
      </c>
      <c r="J218" s="8" t="s">
        <v>4</v>
      </c>
      <c r="K218" s="5"/>
    </row>
    <row r="219" customFormat="false" ht="15" hidden="false" customHeight="false" outlineLevel="0" collapsed="false">
      <c r="A219" s="5" t="s">
        <v>65</v>
      </c>
      <c r="B219" s="3" t="n">
        <v>8</v>
      </c>
      <c r="C219" s="5" t="s">
        <v>133</v>
      </c>
      <c r="D219" s="5" t="s">
        <v>105</v>
      </c>
      <c r="E219" s="3" t="s">
        <v>24</v>
      </c>
      <c r="F219" s="5" t="s">
        <v>63</v>
      </c>
      <c r="G219" s="3" t="s">
        <v>155</v>
      </c>
      <c r="H219" s="3" t="n">
        <v>1</v>
      </c>
      <c r="I219" s="3" t="n">
        <v>1</v>
      </c>
      <c r="J219" s="8" t="s">
        <v>4</v>
      </c>
      <c r="K219" s="5" t="s">
        <v>284</v>
      </c>
    </row>
    <row r="220" customFormat="false" ht="15" hidden="false" customHeight="false" outlineLevel="0" collapsed="false">
      <c r="A220" s="5" t="s">
        <v>65</v>
      </c>
      <c r="B220" s="3" t="n">
        <v>9</v>
      </c>
      <c r="C220" s="5" t="s">
        <v>136</v>
      </c>
      <c r="D220" s="5" t="s">
        <v>105</v>
      </c>
      <c r="E220" s="3" t="s">
        <v>24</v>
      </c>
      <c r="F220" s="5" t="s">
        <v>45</v>
      </c>
      <c r="G220" s="3" t="s">
        <v>155</v>
      </c>
      <c r="H220" s="3" t="n">
        <v>1</v>
      </c>
      <c r="I220" s="3" t="n">
        <v>1</v>
      </c>
      <c r="J220" s="8" t="s">
        <v>4</v>
      </c>
      <c r="K220" s="5"/>
    </row>
    <row r="221" customFormat="false" ht="15" hidden="false" customHeight="false" outlineLevel="0" collapsed="false">
      <c r="A221" s="5" t="s">
        <v>65</v>
      </c>
      <c r="B221" s="3" t="n">
        <v>10</v>
      </c>
      <c r="C221" s="5" t="s">
        <v>221</v>
      </c>
      <c r="D221" s="5" t="s">
        <v>285</v>
      </c>
      <c r="E221" s="3" t="s">
        <v>40</v>
      </c>
      <c r="F221" s="5" t="s">
        <v>71</v>
      </c>
      <c r="G221" s="3" t="s">
        <v>121</v>
      </c>
      <c r="H221" s="3" t="n">
        <v>1</v>
      </c>
      <c r="I221" s="3" t="n">
        <v>0</v>
      </c>
      <c r="J221" s="7" t="s">
        <v>3</v>
      </c>
      <c r="K221" s="5" t="s">
        <v>286</v>
      </c>
    </row>
    <row r="222" customFormat="false" ht="15" hidden="false" customHeight="false" outlineLevel="0" collapsed="false">
      <c r="A222" s="5" t="s">
        <v>67</v>
      </c>
      <c r="B222" s="3" t="n">
        <v>1</v>
      </c>
      <c r="C222" s="5" t="s">
        <v>211</v>
      </c>
      <c r="D222" s="5" t="s">
        <v>96</v>
      </c>
      <c r="E222" s="3" t="s">
        <v>97</v>
      </c>
      <c r="F222" s="5" t="s">
        <v>177</v>
      </c>
      <c r="G222" s="3" t="s">
        <v>118</v>
      </c>
      <c r="H222" s="3" t="n">
        <v>2</v>
      </c>
      <c r="I222" s="3" t="n">
        <v>0</v>
      </c>
      <c r="J222" s="7" t="s">
        <v>3</v>
      </c>
      <c r="K222" s="5"/>
    </row>
    <row r="223" customFormat="false" ht="15" hidden="false" customHeight="false" outlineLevel="0" collapsed="false">
      <c r="A223" s="5" t="s">
        <v>67</v>
      </c>
      <c r="B223" s="3" t="n">
        <v>2</v>
      </c>
      <c r="C223" s="5" t="s">
        <v>212</v>
      </c>
      <c r="D223" s="5" t="s">
        <v>96</v>
      </c>
      <c r="E223" s="3" t="s">
        <v>97</v>
      </c>
      <c r="F223" s="5" t="s">
        <v>85</v>
      </c>
      <c r="G223" s="3" t="s">
        <v>122</v>
      </c>
      <c r="H223" s="3" t="n">
        <v>0</v>
      </c>
      <c r="I223" s="3" t="n">
        <v>0</v>
      </c>
      <c r="J223" s="8" t="s">
        <v>4</v>
      </c>
      <c r="K223" s="5"/>
    </row>
    <row r="224" customFormat="false" ht="15" hidden="false" customHeight="false" outlineLevel="0" collapsed="false">
      <c r="A224" s="5" t="s">
        <v>67</v>
      </c>
      <c r="B224" s="3" t="n">
        <v>3</v>
      </c>
      <c r="C224" s="5" t="s">
        <v>214</v>
      </c>
      <c r="D224" s="5" t="s">
        <v>96</v>
      </c>
      <c r="E224" s="3" t="s">
        <v>97</v>
      </c>
      <c r="F224" s="5" t="s">
        <v>37</v>
      </c>
      <c r="G224" s="3" t="s">
        <v>196</v>
      </c>
      <c r="H224" s="3" t="n">
        <v>4</v>
      </c>
      <c r="I224" s="3" t="n">
        <v>2</v>
      </c>
      <c r="J224" s="7" t="s">
        <v>3</v>
      </c>
      <c r="K224" s="5"/>
    </row>
    <row r="225" customFormat="false" ht="15" hidden="false" customHeight="false" outlineLevel="0" collapsed="false">
      <c r="A225" s="5" t="s">
        <v>67</v>
      </c>
      <c r="B225" s="3" t="n">
        <v>4</v>
      </c>
      <c r="C225" s="5" t="s">
        <v>287</v>
      </c>
      <c r="D225" s="5" t="s">
        <v>105</v>
      </c>
      <c r="E225" s="3" t="s">
        <v>97</v>
      </c>
      <c r="F225" s="5" t="s">
        <v>288</v>
      </c>
      <c r="G225" s="3" t="s">
        <v>142</v>
      </c>
      <c r="H225" s="3" t="n">
        <v>3</v>
      </c>
      <c r="I225" s="3" t="n">
        <v>0</v>
      </c>
      <c r="J225" s="7" t="s">
        <v>3</v>
      </c>
      <c r="K225" s="5"/>
    </row>
    <row r="226" customFormat="false" ht="15" hidden="false" customHeight="false" outlineLevel="0" collapsed="false">
      <c r="A226" s="5" t="s">
        <v>67</v>
      </c>
      <c r="B226" s="3" t="n">
        <v>5</v>
      </c>
      <c r="C226" s="5" t="s">
        <v>104</v>
      </c>
      <c r="D226" s="5" t="s">
        <v>105</v>
      </c>
      <c r="E226" s="3" t="s">
        <v>97</v>
      </c>
      <c r="F226" s="5" t="s">
        <v>254</v>
      </c>
      <c r="G226" s="3" t="s">
        <v>121</v>
      </c>
      <c r="H226" s="3" t="n">
        <v>1</v>
      </c>
      <c r="I226" s="3" t="n">
        <v>0</v>
      </c>
      <c r="J226" s="7" t="s">
        <v>3</v>
      </c>
      <c r="K226" s="5"/>
    </row>
    <row r="227" customFormat="false" ht="15" hidden="false" customHeight="false" outlineLevel="0" collapsed="false">
      <c r="A227" s="5" t="s">
        <v>67</v>
      </c>
      <c r="B227" s="3" t="n">
        <v>6</v>
      </c>
      <c r="C227" s="5" t="s">
        <v>129</v>
      </c>
      <c r="D227" s="5" t="s">
        <v>105</v>
      </c>
      <c r="E227" s="3" t="s">
        <v>40</v>
      </c>
      <c r="F227" s="5" t="s">
        <v>57</v>
      </c>
      <c r="G227" s="3" t="s">
        <v>168</v>
      </c>
      <c r="H227" s="3" t="n">
        <v>0</v>
      </c>
      <c r="I227" s="3" t="n">
        <v>1</v>
      </c>
      <c r="J227" s="6" t="s">
        <v>5</v>
      </c>
      <c r="K227" s="5"/>
    </row>
    <row r="228" customFormat="false" ht="15" hidden="false" customHeight="false" outlineLevel="0" collapsed="false">
      <c r="A228" s="5" t="s">
        <v>67</v>
      </c>
      <c r="B228" s="3" t="n">
        <v>7</v>
      </c>
      <c r="C228" s="5" t="s">
        <v>110</v>
      </c>
      <c r="D228" s="5" t="s">
        <v>105</v>
      </c>
      <c r="E228" s="3" t="s">
        <v>40</v>
      </c>
      <c r="F228" s="5" t="s">
        <v>227</v>
      </c>
      <c r="G228" s="3" t="s">
        <v>155</v>
      </c>
      <c r="H228" s="3" t="n">
        <v>1</v>
      </c>
      <c r="I228" s="3" t="n">
        <v>1</v>
      </c>
      <c r="J228" s="8" t="s">
        <v>4</v>
      </c>
      <c r="K228" s="5"/>
    </row>
    <row r="229" customFormat="false" ht="15" hidden="false" customHeight="false" outlineLevel="0" collapsed="false">
      <c r="A229" s="5" t="s">
        <v>67</v>
      </c>
      <c r="B229" s="3" t="n">
        <v>8</v>
      </c>
      <c r="C229" s="5" t="s">
        <v>150</v>
      </c>
      <c r="D229" s="5" t="s">
        <v>113</v>
      </c>
      <c r="E229" s="3" t="s">
        <v>24</v>
      </c>
      <c r="F229" s="5" t="s">
        <v>289</v>
      </c>
      <c r="G229" s="3" t="s">
        <v>118</v>
      </c>
      <c r="H229" s="3" t="n">
        <v>2</v>
      </c>
      <c r="I229" s="3" t="n">
        <v>0</v>
      </c>
      <c r="J229" s="7" t="s">
        <v>3</v>
      </c>
      <c r="K229" s="5"/>
    </row>
    <row r="230" customFormat="false" ht="15" hidden="false" customHeight="false" outlineLevel="0" collapsed="false">
      <c r="A230" s="5" t="s">
        <v>67</v>
      </c>
      <c r="B230" s="3" t="n">
        <v>9</v>
      </c>
      <c r="C230" s="5" t="s">
        <v>152</v>
      </c>
      <c r="D230" s="5" t="s">
        <v>113</v>
      </c>
      <c r="E230" s="3" t="s">
        <v>40</v>
      </c>
      <c r="F230" s="5" t="s">
        <v>233</v>
      </c>
      <c r="G230" s="3" t="s">
        <v>118</v>
      </c>
      <c r="H230" s="3" t="n">
        <v>2</v>
      </c>
      <c r="I230" s="3" t="n">
        <v>0</v>
      </c>
      <c r="J230" s="7" t="s">
        <v>3</v>
      </c>
      <c r="K230" s="5"/>
    </row>
    <row r="231" customFormat="false" ht="15" hidden="false" customHeight="false" outlineLevel="0" collapsed="false">
      <c r="A231" s="5" t="s">
        <v>67</v>
      </c>
      <c r="B231" s="3" t="n">
        <v>10</v>
      </c>
      <c r="C231" s="5" t="s">
        <v>133</v>
      </c>
      <c r="D231" s="5" t="s">
        <v>113</v>
      </c>
      <c r="E231" s="3" t="s">
        <v>24</v>
      </c>
      <c r="F231" s="5" t="s">
        <v>290</v>
      </c>
      <c r="G231" s="3" t="s">
        <v>213</v>
      </c>
      <c r="H231" s="3" t="n">
        <v>5</v>
      </c>
      <c r="I231" s="3" t="n">
        <v>0</v>
      </c>
      <c r="J231" s="7" t="s">
        <v>3</v>
      </c>
      <c r="K231" s="5"/>
    </row>
    <row r="232" customFormat="false" ht="15" hidden="false" customHeight="false" outlineLevel="0" collapsed="false">
      <c r="A232" s="5" t="s">
        <v>69</v>
      </c>
      <c r="B232" s="3" t="n">
        <v>1</v>
      </c>
      <c r="C232" s="5" t="s">
        <v>211</v>
      </c>
      <c r="D232" s="5" t="s">
        <v>96</v>
      </c>
      <c r="E232" s="3" t="s">
        <v>97</v>
      </c>
      <c r="F232" s="5" t="s">
        <v>187</v>
      </c>
      <c r="G232" s="3" t="s">
        <v>144</v>
      </c>
      <c r="H232" s="3" t="n">
        <v>3</v>
      </c>
      <c r="I232" s="3" t="n">
        <v>1</v>
      </c>
      <c r="J232" s="7" t="s">
        <v>3</v>
      </c>
      <c r="K232" s="5"/>
    </row>
    <row r="233" customFormat="false" ht="15" hidden="false" customHeight="false" outlineLevel="0" collapsed="false">
      <c r="A233" s="5" t="s">
        <v>69</v>
      </c>
      <c r="B233" s="3" t="n">
        <v>2</v>
      </c>
      <c r="C233" s="5" t="s">
        <v>212</v>
      </c>
      <c r="D233" s="5" t="s">
        <v>96</v>
      </c>
      <c r="E233" s="3" t="s">
        <v>97</v>
      </c>
      <c r="F233" s="5" t="s">
        <v>83</v>
      </c>
      <c r="G233" s="3" t="s">
        <v>168</v>
      </c>
      <c r="H233" s="3" t="n">
        <v>0</v>
      </c>
      <c r="I233" s="3" t="n">
        <v>1</v>
      </c>
      <c r="J233" s="6" t="s">
        <v>5</v>
      </c>
      <c r="K233" s="5"/>
    </row>
    <row r="234" customFormat="false" ht="15" hidden="false" customHeight="false" outlineLevel="0" collapsed="false">
      <c r="A234" s="5" t="s">
        <v>69</v>
      </c>
      <c r="B234" s="3" t="n">
        <v>3</v>
      </c>
      <c r="C234" s="5" t="s">
        <v>214</v>
      </c>
      <c r="D234" s="5" t="s">
        <v>96</v>
      </c>
      <c r="E234" s="3" t="s">
        <v>97</v>
      </c>
      <c r="F234" s="5" t="s">
        <v>34</v>
      </c>
      <c r="G234" s="3" t="s">
        <v>155</v>
      </c>
      <c r="H234" s="3" t="n">
        <v>1</v>
      </c>
      <c r="I234" s="3" t="n">
        <v>1</v>
      </c>
      <c r="J234" s="8" t="s">
        <v>4</v>
      </c>
      <c r="K234" s="5"/>
    </row>
    <row r="235" customFormat="false" ht="15" hidden="false" customHeight="false" outlineLevel="0" collapsed="false">
      <c r="A235" s="5" t="s">
        <v>69</v>
      </c>
      <c r="B235" s="3" t="n">
        <v>4</v>
      </c>
      <c r="C235" s="5" t="s">
        <v>262</v>
      </c>
      <c r="D235" s="5" t="s">
        <v>105</v>
      </c>
      <c r="E235" s="3" t="s">
        <v>97</v>
      </c>
      <c r="F235" s="5" t="s">
        <v>291</v>
      </c>
      <c r="G235" s="3" t="s">
        <v>98</v>
      </c>
      <c r="H235" s="3" t="n">
        <v>1</v>
      </c>
      <c r="I235" s="3" t="n">
        <v>2</v>
      </c>
      <c r="J235" s="6" t="s">
        <v>5</v>
      </c>
      <c r="K235" s="5"/>
    </row>
    <row r="236" customFormat="false" ht="15" hidden="false" customHeight="false" outlineLevel="0" collapsed="false">
      <c r="A236" s="5" t="s">
        <v>69</v>
      </c>
      <c r="B236" s="3" t="n">
        <v>5</v>
      </c>
      <c r="C236" s="5" t="s">
        <v>192</v>
      </c>
      <c r="D236" s="5" t="s">
        <v>105</v>
      </c>
      <c r="E236" s="3" t="s">
        <v>97</v>
      </c>
      <c r="F236" s="5" t="s">
        <v>292</v>
      </c>
      <c r="G236" s="3" t="s">
        <v>122</v>
      </c>
      <c r="H236" s="3" t="n">
        <v>0</v>
      </c>
      <c r="I236" s="3" t="n">
        <v>0</v>
      </c>
      <c r="J236" s="8" t="s">
        <v>4</v>
      </c>
      <c r="K236" s="5" t="s">
        <v>293</v>
      </c>
    </row>
    <row r="237" customFormat="false" ht="15" hidden="false" customHeight="false" outlineLevel="0" collapsed="false">
      <c r="A237" s="5" t="s">
        <v>69</v>
      </c>
      <c r="B237" s="3" t="n">
        <v>6</v>
      </c>
      <c r="C237" s="5" t="s">
        <v>129</v>
      </c>
      <c r="D237" s="5" t="s">
        <v>294</v>
      </c>
      <c r="E237" s="3" t="s">
        <v>97</v>
      </c>
      <c r="F237" s="5" t="s">
        <v>174</v>
      </c>
      <c r="G237" s="3" t="s">
        <v>121</v>
      </c>
      <c r="H237" s="3" t="n">
        <v>1</v>
      </c>
      <c r="I237" s="3" t="n">
        <v>0</v>
      </c>
      <c r="J237" s="7" t="s">
        <v>3</v>
      </c>
      <c r="K237" s="5" t="s">
        <v>295</v>
      </c>
    </row>
    <row r="238" customFormat="false" ht="15" hidden="false" customHeight="false" outlineLevel="0" collapsed="false">
      <c r="A238" s="5" t="s">
        <v>69</v>
      </c>
      <c r="B238" s="3" t="n">
        <v>7</v>
      </c>
      <c r="C238" s="5" t="s">
        <v>296</v>
      </c>
      <c r="D238" s="5" t="s">
        <v>105</v>
      </c>
      <c r="E238" s="3" t="s">
        <v>97</v>
      </c>
      <c r="F238" s="5" t="s">
        <v>297</v>
      </c>
      <c r="G238" s="3" t="s">
        <v>118</v>
      </c>
      <c r="H238" s="3" t="n">
        <v>2</v>
      </c>
      <c r="I238" s="3" t="n">
        <v>0</v>
      </c>
      <c r="J238" s="7" t="s">
        <v>3</v>
      </c>
      <c r="K238" s="5"/>
    </row>
    <row r="239" customFormat="false" ht="15" hidden="false" customHeight="false" outlineLevel="0" collapsed="false">
      <c r="A239" s="5" t="s">
        <v>69</v>
      </c>
      <c r="B239" s="3" t="n">
        <v>8</v>
      </c>
      <c r="C239" s="5" t="s">
        <v>269</v>
      </c>
      <c r="D239" s="5" t="s">
        <v>179</v>
      </c>
      <c r="E239" s="3" t="s">
        <v>97</v>
      </c>
      <c r="F239" s="5" t="s">
        <v>81</v>
      </c>
      <c r="G239" s="3" t="s">
        <v>168</v>
      </c>
      <c r="H239" s="3" t="n">
        <v>0</v>
      </c>
      <c r="I239" s="3" t="n">
        <v>1</v>
      </c>
      <c r="J239" s="6" t="s">
        <v>5</v>
      </c>
      <c r="K239" s="5" t="s">
        <v>295</v>
      </c>
    </row>
    <row r="240" customFormat="false" ht="15" hidden="false" customHeight="false" outlineLevel="0" collapsed="false">
      <c r="A240" s="5" t="s">
        <v>69</v>
      </c>
      <c r="B240" s="3" t="n">
        <v>9</v>
      </c>
      <c r="C240" s="5" t="s">
        <v>298</v>
      </c>
      <c r="D240" s="5" t="s">
        <v>182</v>
      </c>
      <c r="E240" s="3" t="s">
        <v>97</v>
      </c>
      <c r="F240" s="5" t="s">
        <v>299</v>
      </c>
      <c r="G240" s="3" t="s">
        <v>142</v>
      </c>
      <c r="H240" s="3" t="n">
        <v>3</v>
      </c>
      <c r="I240" s="3" t="n">
        <v>0</v>
      </c>
      <c r="J240" s="7" t="s">
        <v>3</v>
      </c>
      <c r="K240" s="5"/>
    </row>
    <row r="241" customFormat="false" ht="15" hidden="false" customHeight="false" outlineLevel="0" collapsed="false">
      <c r="A241" s="5" t="s">
        <v>69</v>
      </c>
      <c r="B241" s="3" t="n">
        <v>10</v>
      </c>
      <c r="C241" s="5" t="s">
        <v>300</v>
      </c>
      <c r="D241" s="5" t="s">
        <v>182</v>
      </c>
      <c r="E241" s="3" t="s">
        <v>97</v>
      </c>
      <c r="F241" s="5" t="s">
        <v>52</v>
      </c>
      <c r="G241" s="3" t="s">
        <v>155</v>
      </c>
      <c r="H241" s="3" t="n">
        <v>1</v>
      </c>
      <c r="I241" s="3" t="n">
        <v>1</v>
      </c>
      <c r="J241" s="8" t="s">
        <v>4</v>
      </c>
      <c r="K241" s="5"/>
    </row>
    <row r="242" customFormat="false" ht="15" hidden="false" customHeight="false" outlineLevel="0" collapsed="false">
      <c r="A242" s="5" t="s">
        <v>71</v>
      </c>
      <c r="B242" s="3" t="n">
        <v>1</v>
      </c>
      <c r="C242" s="5" t="s">
        <v>211</v>
      </c>
      <c r="D242" s="5" t="s">
        <v>96</v>
      </c>
      <c r="E242" s="3" t="s">
        <v>97</v>
      </c>
      <c r="F242" s="5" t="s">
        <v>237</v>
      </c>
      <c r="G242" s="3" t="s">
        <v>144</v>
      </c>
      <c r="H242" s="3" t="n">
        <v>3</v>
      </c>
      <c r="I242" s="3" t="n">
        <v>1</v>
      </c>
      <c r="J242" s="7" t="s">
        <v>3</v>
      </c>
      <c r="K242" s="5"/>
    </row>
    <row r="243" customFormat="false" ht="15" hidden="false" customHeight="false" outlineLevel="0" collapsed="false">
      <c r="A243" s="5" t="s">
        <v>71</v>
      </c>
      <c r="B243" s="3" t="n">
        <v>2</v>
      </c>
      <c r="C243" s="5" t="s">
        <v>140</v>
      </c>
      <c r="D243" s="5" t="s">
        <v>96</v>
      </c>
      <c r="E243" s="3" t="s">
        <v>97</v>
      </c>
      <c r="F243" s="5" t="s">
        <v>42</v>
      </c>
      <c r="G243" s="3" t="s">
        <v>118</v>
      </c>
      <c r="H243" s="3" t="n">
        <v>2</v>
      </c>
      <c r="I243" s="3" t="n">
        <v>0</v>
      </c>
      <c r="J243" s="7" t="s">
        <v>3</v>
      </c>
      <c r="K243" s="5"/>
    </row>
    <row r="244" customFormat="false" ht="15" hidden="false" customHeight="false" outlineLevel="0" collapsed="false">
      <c r="A244" s="5" t="s">
        <v>71</v>
      </c>
      <c r="B244" s="3" t="n">
        <v>3</v>
      </c>
      <c r="C244" s="5" t="s">
        <v>143</v>
      </c>
      <c r="D244" s="5" t="s">
        <v>96</v>
      </c>
      <c r="E244" s="3" t="s">
        <v>97</v>
      </c>
      <c r="F244" s="5" t="s">
        <v>81</v>
      </c>
      <c r="G244" s="3" t="s">
        <v>142</v>
      </c>
      <c r="H244" s="3" t="n">
        <v>3</v>
      </c>
      <c r="I244" s="3" t="n">
        <v>0</v>
      </c>
      <c r="J244" s="7" t="s">
        <v>3</v>
      </c>
      <c r="K244" s="5"/>
    </row>
    <row r="245" customFormat="false" ht="15" hidden="false" customHeight="false" outlineLevel="0" collapsed="false">
      <c r="A245" s="5" t="s">
        <v>71</v>
      </c>
      <c r="B245" s="3" t="n">
        <v>4</v>
      </c>
      <c r="C245" s="5" t="s">
        <v>262</v>
      </c>
      <c r="D245" s="5" t="s">
        <v>105</v>
      </c>
      <c r="E245" s="3" t="s">
        <v>97</v>
      </c>
      <c r="F245" s="5" t="s">
        <v>154</v>
      </c>
      <c r="G245" s="3" t="s">
        <v>142</v>
      </c>
      <c r="H245" s="3" t="n">
        <v>3</v>
      </c>
      <c r="I245" s="3" t="n">
        <v>0</v>
      </c>
      <c r="J245" s="7" t="s">
        <v>3</v>
      </c>
      <c r="K245" s="5"/>
    </row>
    <row r="246" customFormat="false" ht="15" hidden="false" customHeight="false" outlineLevel="0" collapsed="false">
      <c r="A246" s="5" t="s">
        <v>71</v>
      </c>
      <c r="B246" s="3" t="n">
        <v>5</v>
      </c>
      <c r="C246" s="5" t="s">
        <v>104</v>
      </c>
      <c r="D246" s="5" t="s">
        <v>105</v>
      </c>
      <c r="E246" s="3" t="s">
        <v>97</v>
      </c>
      <c r="F246" s="5" t="s">
        <v>301</v>
      </c>
      <c r="G246" s="3" t="s">
        <v>118</v>
      </c>
      <c r="H246" s="3" t="n">
        <v>2</v>
      </c>
      <c r="I246" s="3" t="n">
        <v>0</v>
      </c>
      <c r="J246" s="7" t="s">
        <v>3</v>
      </c>
      <c r="K246" s="5"/>
    </row>
    <row r="247" customFormat="false" ht="15" hidden="false" customHeight="false" outlineLevel="0" collapsed="false">
      <c r="A247" s="5" t="s">
        <v>71</v>
      </c>
      <c r="B247" s="3" t="n">
        <v>6</v>
      </c>
      <c r="C247" s="5" t="s">
        <v>129</v>
      </c>
      <c r="D247" s="5" t="s">
        <v>105</v>
      </c>
      <c r="E247" s="3" t="s">
        <v>40</v>
      </c>
      <c r="F247" s="5" t="s">
        <v>302</v>
      </c>
      <c r="G247" s="3" t="s">
        <v>213</v>
      </c>
      <c r="H247" s="3" t="n">
        <v>5</v>
      </c>
      <c r="I247" s="3" t="n">
        <v>0</v>
      </c>
      <c r="J247" s="7" t="s">
        <v>3</v>
      </c>
      <c r="K247" s="5"/>
    </row>
    <row r="248" customFormat="false" ht="15" hidden="false" customHeight="false" outlineLevel="0" collapsed="false">
      <c r="A248" s="5" t="s">
        <v>71</v>
      </c>
      <c r="B248" s="3" t="n">
        <v>7</v>
      </c>
      <c r="C248" s="5" t="s">
        <v>110</v>
      </c>
      <c r="D248" s="5" t="s">
        <v>105</v>
      </c>
      <c r="E248" s="3" t="s">
        <v>40</v>
      </c>
      <c r="F248" s="5" t="s">
        <v>303</v>
      </c>
      <c r="G248" s="3" t="s">
        <v>100</v>
      </c>
      <c r="H248" s="3" t="n">
        <v>2</v>
      </c>
      <c r="I248" s="3" t="n">
        <v>1</v>
      </c>
      <c r="J248" s="7" t="s">
        <v>3</v>
      </c>
      <c r="K248" s="5"/>
    </row>
    <row r="249" customFormat="false" ht="15" hidden="false" customHeight="false" outlineLevel="0" collapsed="false">
      <c r="A249" s="5" t="s">
        <v>71</v>
      </c>
      <c r="B249" s="3" t="n">
        <v>8</v>
      </c>
      <c r="C249" s="5" t="s">
        <v>116</v>
      </c>
      <c r="D249" s="5" t="s">
        <v>105</v>
      </c>
      <c r="E249" s="3" t="s">
        <v>24</v>
      </c>
      <c r="F249" s="5" t="s">
        <v>304</v>
      </c>
      <c r="G249" s="3" t="s">
        <v>118</v>
      </c>
      <c r="H249" s="3" t="n">
        <v>2</v>
      </c>
      <c r="I249" s="3" t="n">
        <v>0</v>
      </c>
      <c r="J249" s="7" t="s">
        <v>3</v>
      </c>
      <c r="K249" s="5"/>
    </row>
    <row r="250" customFormat="false" ht="15" hidden="false" customHeight="false" outlineLevel="0" collapsed="false">
      <c r="A250" s="5" t="s">
        <v>71</v>
      </c>
      <c r="B250" s="3" t="n">
        <v>9</v>
      </c>
      <c r="C250" s="5" t="s">
        <v>133</v>
      </c>
      <c r="D250" s="5" t="s">
        <v>105</v>
      </c>
      <c r="E250" s="3" t="s">
        <v>97</v>
      </c>
      <c r="F250" s="5" t="s">
        <v>305</v>
      </c>
      <c r="G250" s="3" t="s">
        <v>115</v>
      </c>
      <c r="H250" s="3" t="n">
        <v>6</v>
      </c>
      <c r="I250" s="3" t="n">
        <v>0</v>
      </c>
      <c r="J250" s="7" t="s">
        <v>3</v>
      </c>
      <c r="K250" s="5"/>
    </row>
    <row r="251" customFormat="false" ht="15" hidden="false" customHeight="false" outlineLevel="0" collapsed="false">
      <c r="A251" s="5" t="s">
        <v>71</v>
      </c>
      <c r="B251" s="3" t="n">
        <v>10</v>
      </c>
      <c r="C251" s="5" t="s">
        <v>136</v>
      </c>
      <c r="D251" s="5" t="s">
        <v>105</v>
      </c>
      <c r="E251" s="3" t="s">
        <v>97</v>
      </c>
      <c r="F251" s="5" t="s">
        <v>191</v>
      </c>
      <c r="G251" s="3" t="s">
        <v>121</v>
      </c>
      <c r="H251" s="3" t="n">
        <v>1</v>
      </c>
      <c r="I251" s="3" t="n">
        <v>0</v>
      </c>
      <c r="J251" s="7" t="s">
        <v>3</v>
      </c>
      <c r="K251" s="5"/>
    </row>
    <row r="252" customFormat="false" ht="15" hidden="false" customHeight="false" outlineLevel="0" collapsed="false">
      <c r="A252" s="5" t="s">
        <v>73</v>
      </c>
      <c r="B252" s="3" t="n">
        <v>1</v>
      </c>
      <c r="C252" s="5" t="s">
        <v>138</v>
      </c>
      <c r="D252" s="5" t="s">
        <v>96</v>
      </c>
      <c r="E252" s="3" t="s">
        <v>97</v>
      </c>
      <c r="F252" s="5" t="s">
        <v>229</v>
      </c>
      <c r="G252" s="3" t="s">
        <v>122</v>
      </c>
      <c r="H252" s="3" t="n">
        <v>0</v>
      </c>
      <c r="I252" s="3" t="n">
        <v>0</v>
      </c>
      <c r="J252" s="8" t="s">
        <v>4</v>
      </c>
      <c r="K252" s="5"/>
    </row>
    <row r="253" customFormat="false" ht="15" hidden="false" customHeight="false" outlineLevel="0" collapsed="false">
      <c r="A253" s="5" t="s">
        <v>73</v>
      </c>
      <c r="B253" s="3" t="n">
        <v>2</v>
      </c>
      <c r="C253" s="5" t="s">
        <v>228</v>
      </c>
      <c r="D253" s="5" t="s">
        <v>96</v>
      </c>
      <c r="E253" s="3" t="s">
        <v>97</v>
      </c>
      <c r="F253" s="5" t="s">
        <v>227</v>
      </c>
      <c r="G253" s="3" t="s">
        <v>137</v>
      </c>
      <c r="H253" s="3" t="n">
        <v>2</v>
      </c>
      <c r="I253" s="3" t="n">
        <v>2</v>
      </c>
      <c r="J253" s="8" t="s">
        <v>4</v>
      </c>
      <c r="K253" s="5"/>
    </row>
    <row r="254" customFormat="false" ht="15" hidden="false" customHeight="false" outlineLevel="0" collapsed="false">
      <c r="A254" s="5" t="s">
        <v>73</v>
      </c>
      <c r="B254" s="3" t="n">
        <v>3</v>
      </c>
      <c r="C254" s="5" t="s">
        <v>230</v>
      </c>
      <c r="D254" s="5" t="s">
        <v>96</v>
      </c>
      <c r="E254" s="3" t="s">
        <v>97</v>
      </c>
      <c r="F254" s="5" t="s">
        <v>39</v>
      </c>
      <c r="G254" s="3" t="s">
        <v>122</v>
      </c>
      <c r="H254" s="3" t="n">
        <v>0</v>
      </c>
      <c r="I254" s="3" t="n">
        <v>0</v>
      </c>
      <c r="J254" s="8" t="s">
        <v>4</v>
      </c>
      <c r="K254" s="5"/>
    </row>
    <row r="255" customFormat="false" ht="15" hidden="false" customHeight="false" outlineLevel="0" collapsed="false">
      <c r="A255" s="5" t="s">
        <v>73</v>
      </c>
      <c r="B255" s="3" t="n">
        <v>4</v>
      </c>
      <c r="C255" s="5" t="s">
        <v>104</v>
      </c>
      <c r="D255" s="5" t="s">
        <v>105</v>
      </c>
      <c r="E255" s="3" t="s">
        <v>97</v>
      </c>
      <c r="F255" s="5" t="s">
        <v>297</v>
      </c>
      <c r="G255" s="3" t="s">
        <v>142</v>
      </c>
      <c r="H255" s="3" t="n">
        <v>3</v>
      </c>
      <c r="I255" s="3" t="n">
        <v>0</v>
      </c>
      <c r="J255" s="7" t="s">
        <v>3</v>
      </c>
      <c r="K255" s="5"/>
    </row>
    <row r="256" customFormat="false" ht="15" hidden="false" customHeight="false" outlineLevel="0" collapsed="false">
      <c r="A256" s="5" t="s">
        <v>73</v>
      </c>
      <c r="B256" s="3" t="n">
        <v>5</v>
      </c>
      <c r="C256" s="5" t="s">
        <v>106</v>
      </c>
      <c r="D256" s="5" t="s">
        <v>105</v>
      </c>
      <c r="E256" s="3" t="s">
        <v>97</v>
      </c>
      <c r="F256" s="5" t="s">
        <v>233</v>
      </c>
      <c r="G256" s="3" t="s">
        <v>142</v>
      </c>
      <c r="H256" s="3" t="n">
        <v>3</v>
      </c>
      <c r="I256" s="3" t="n">
        <v>0</v>
      </c>
      <c r="J256" s="7" t="s">
        <v>3</v>
      </c>
      <c r="K256" s="5"/>
    </row>
    <row r="257" customFormat="false" ht="15" hidden="false" customHeight="false" outlineLevel="0" collapsed="false">
      <c r="A257" s="5" t="s">
        <v>73</v>
      </c>
      <c r="B257" s="3" t="n">
        <v>6</v>
      </c>
      <c r="C257" s="5" t="s">
        <v>147</v>
      </c>
      <c r="D257" s="5" t="s">
        <v>306</v>
      </c>
      <c r="E257" s="3" t="s">
        <v>97</v>
      </c>
      <c r="F257" s="5" t="s">
        <v>107</v>
      </c>
      <c r="G257" s="3" t="s">
        <v>155</v>
      </c>
      <c r="H257" s="3" t="n">
        <v>1</v>
      </c>
      <c r="I257" s="3" t="n">
        <v>1</v>
      </c>
      <c r="J257" s="8" t="s">
        <v>4</v>
      </c>
      <c r="K257" s="5"/>
    </row>
    <row r="258" customFormat="false" ht="15" hidden="false" customHeight="false" outlineLevel="0" collapsed="false">
      <c r="A258" s="5" t="s">
        <v>73</v>
      </c>
      <c r="B258" s="3" t="n">
        <v>7</v>
      </c>
      <c r="C258" s="5" t="s">
        <v>148</v>
      </c>
      <c r="D258" s="5" t="s">
        <v>306</v>
      </c>
      <c r="E258" s="3" t="s">
        <v>97</v>
      </c>
      <c r="F258" s="5" t="s">
        <v>291</v>
      </c>
      <c r="G258" s="3" t="s">
        <v>222</v>
      </c>
      <c r="H258" s="3" t="n">
        <v>2</v>
      </c>
      <c r="I258" s="3" t="n">
        <v>4</v>
      </c>
      <c r="J258" s="6" t="s">
        <v>5</v>
      </c>
      <c r="K258" s="5"/>
    </row>
    <row r="259" customFormat="false" ht="15" hidden="false" customHeight="false" outlineLevel="0" collapsed="false">
      <c r="A259" s="5" t="s">
        <v>73</v>
      </c>
      <c r="B259" s="3" t="n">
        <v>8</v>
      </c>
      <c r="C259" s="5" t="s">
        <v>112</v>
      </c>
      <c r="D259" s="5" t="s">
        <v>105</v>
      </c>
      <c r="E259" s="3" t="s">
        <v>97</v>
      </c>
      <c r="F259" s="5" t="s">
        <v>77</v>
      </c>
      <c r="G259" s="3" t="s">
        <v>155</v>
      </c>
      <c r="H259" s="3" t="n">
        <v>1</v>
      </c>
      <c r="I259" s="3" t="n">
        <v>1</v>
      </c>
      <c r="J259" s="8" t="s">
        <v>4</v>
      </c>
      <c r="K259" s="5" t="s">
        <v>307</v>
      </c>
    </row>
    <row r="260" customFormat="false" ht="15" hidden="false" customHeight="false" outlineLevel="0" collapsed="false">
      <c r="A260" s="5" t="s">
        <v>73</v>
      </c>
      <c r="B260" s="3" t="n">
        <v>9</v>
      </c>
      <c r="C260" s="5" t="s">
        <v>152</v>
      </c>
      <c r="D260" s="5" t="s">
        <v>105</v>
      </c>
      <c r="E260" s="3" t="s">
        <v>97</v>
      </c>
      <c r="F260" s="5" t="s">
        <v>255</v>
      </c>
      <c r="G260" s="3" t="s">
        <v>122</v>
      </c>
      <c r="H260" s="3" t="n">
        <v>0</v>
      </c>
      <c r="I260" s="3" t="n">
        <v>0</v>
      </c>
      <c r="J260" s="8" t="s">
        <v>4</v>
      </c>
      <c r="K260" s="5" t="s">
        <v>307</v>
      </c>
    </row>
    <row r="261" customFormat="false" ht="15" hidden="false" customHeight="false" outlineLevel="0" collapsed="false">
      <c r="A261" s="5" t="s">
        <v>73</v>
      </c>
      <c r="B261" s="3" t="n">
        <v>10</v>
      </c>
      <c r="C261" s="5" t="s">
        <v>119</v>
      </c>
      <c r="D261" s="5" t="s">
        <v>308</v>
      </c>
      <c r="E261" s="3" t="s">
        <v>40</v>
      </c>
      <c r="F261" s="5" t="s">
        <v>309</v>
      </c>
      <c r="G261" s="3" t="s">
        <v>142</v>
      </c>
      <c r="H261" s="3" t="n">
        <v>3</v>
      </c>
      <c r="I261" s="3" t="n">
        <v>0</v>
      </c>
      <c r="J261" s="7" t="s">
        <v>3</v>
      </c>
      <c r="K261" s="5" t="s">
        <v>310</v>
      </c>
    </row>
    <row r="262" customFormat="false" ht="15" hidden="false" customHeight="false" outlineLevel="0" collapsed="false">
      <c r="A262" s="5" t="s">
        <v>75</v>
      </c>
      <c r="B262" s="3" t="n">
        <v>1</v>
      </c>
      <c r="C262" s="5" t="s">
        <v>95</v>
      </c>
      <c r="D262" s="5" t="s">
        <v>96</v>
      </c>
      <c r="E262" s="3" t="s">
        <v>97</v>
      </c>
      <c r="F262" s="5" t="s">
        <v>15</v>
      </c>
      <c r="G262" s="3" t="s">
        <v>122</v>
      </c>
      <c r="H262" s="3" t="n">
        <v>0</v>
      </c>
      <c r="I262" s="3" t="n">
        <v>0</v>
      </c>
      <c r="J262" s="8" t="s">
        <v>4</v>
      </c>
      <c r="K262" s="5"/>
    </row>
    <row r="263" customFormat="false" ht="15" hidden="false" customHeight="false" outlineLevel="0" collapsed="false">
      <c r="A263" s="5" t="s">
        <v>75</v>
      </c>
      <c r="B263" s="3" t="n">
        <v>2</v>
      </c>
      <c r="C263" s="5" t="s">
        <v>123</v>
      </c>
      <c r="D263" s="5" t="s">
        <v>96</v>
      </c>
      <c r="E263" s="3" t="s">
        <v>97</v>
      </c>
      <c r="F263" s="5" t="s">
        <v>45</v>
      </c>
      <c r="G263" s="3" t="s">
        <v>135</v>
      </c>
      <c r="H263" s="3" t="n">
        <v>0</v>
      </c>
      <c r="I263" s="3" t="n">
        <v>2</v>
      </c>
      <c r="J263" s="6" t="s">
        <v>5</v>
      </c>
      <c r="K263" s="5"/>
    </row>
    <row r="264" customFormat="false" ht="15" hidden="false" customHeight="false" outlineLevel="0" collapsed="false">
      <c r="A264" s="5" t="s">
        <v>75</v>
      </c>
      <c r="B264" s="3" t="n">
        <v>3</v>
      </c>
      <c r="C264" s="5" t="s">
        <v>101</v>
      </c>
      <c r="D264" s="5" t="s">
        <v>96</v>
      </c>
      <c r="E264" s="3" t="s">
        <v>97</v>
      </c>
      <c r="F264" s="5" t="s">
        <v>124</v>
      </c>
      <c r="G264" s="3" t="s">
        <v>118</v>
      </c>
      <c r="H264" s="3" t="n">
        <v>2</v>
      </c>
      <c r="I264" s="3" t="n">
        <v>0</v>
      </c>
      <c r="J264" s="7" t="s">
        <v>3</v>
      </c>
      <c r="K264" s="5"/>
    </row>
    <row r="265" customFormat="false" ht="15" hidden="false" customHeight="false" outlineLevel="0" collapsed="false">
      <c r="A265" s="5" t="s">
        <v>75</v>
      </c>
      <c r="B265" s="3" t="n">
        <v>4</v>
      </c>
      <c r="C265" s="5" t="s">
        <v>104</v>
      </c>
      <c r="D265" s="5" t="s">
        <v>105</v>
      </c>
      <c r="E265" s="3" t="s">
        <v>97</v>
      </c>
      <c r="F265" s="5" t="s">
        <v>79</v>
      </c>
      <c r="G265" s="3" t="s">
        <v>155</v>
      </c>
      <c r="H265" s="3" t="n">
        <v>1</v>
      </c>
      <c r="I265" s="3" t="n">
        <v>1</v>
      </c>
      <c r="J265" s="8" t="s">
        <v>4</v>
      </c>
      <c r="K265" s="5" t="s">
        <v>311</v>
      </c>
    </row>
    <row r="266" customFormat="false" ht="15" hidden="false" customHeight="false" outlineLevel="0" collapsed="false">
      <c r="A266" s="5" t="s">
        <v>75</v>
      </c>
      <c r="B266" s="3" t="n">
        <v>5</v>
      </c>
      <c r="C266" s="5" t="s">
        <v>279</v>
      </c>
      <c r="D266" s="5" t="s">
        <v>105</v>
      </c>
      <c r="E266" s="3" t="s">
        <v>97</v>
      </c>
      <c r="F266" s="5" t="s">
        <v>63</v>
      </c>
      <c r="G266" s="3" t="s">
        <v>168</v>
      </c>
      <c r="H266" s="3" t="n">
        <v>0</v>
      </c>
      <c r="I266" s="3" t="n">
        <v>1</v>
      </c>
      <c r="J266" s="6" t="s">
        <v>5</v>
      </c>
      <c r="K266" s="5"/>
    </row>
    <row r="267" customFormat="false" ht="15" hidden="false" customHeight="false" outlineLevel="0" collapsed="false">
      <c r="A267" s="5" t="s">
        <v>75</v>
      </c>
      <c r="B267" s="3" t="n">
        <v>6</v>
      </c>
      <c r="C267" s="5" t="s">
        <v>129</v>
      </c>
      <c r="D267" s="5" t="s">
        <v>306</v>
      </c>
      <c r="E267" s="3" t="s">
        <v>40</v>
      </c>
      <c r="F267" s="5" t="s">
        <v>102</v>
      </c>
      <c r="G267" s="3" t="s">
        <v>158</v>
      </c>
      <c r="H267" s="3" t="n">
        <v>5</v>
      </c>
      <c r="I267" s="3" t="n">
        <v>1</v>
      </c>
      <c r="J267" s="7" t="s">
        <v>3</v>
      </c>
      <c r="K267" s="5"/>
    </row>
    <row r="268" customFormat="false" ht="15" hidden="false" customHeight="false" outlineLevel="0" collapsed="false">
      <c r="A268" s="5" t="s">
        <v>75</v>
      </c>
      <c r="B268" s="3" t="n">
        <v>7</v>
      </c>
      <c r="C268" s="5" t="s">
        <v>110</v>
      </c>
      <c r="D268" s="5" t="s">
        <v>306</v>
      </c>
      <c r="E268" s="3" t="s">
        <v>40</v>
      </c>
      <c r="F268" s="5" t="s">
        <v>180</v>
      </c>
      <c r="G268" s="3" t="s">
        <v>121</v>
      </c>
      <c r="H268" s="3" t="n">
        <v>1</v>
      </c>
      <c r="I268" s="3" t="n">
        <v>0</v>
      </c>
      <c r="J268" s="7" t="s">
        <v>3</v>
      </c>
      <c r="K268" s="5"/>
    </row>
    <row r="269" customFormat="false" ht="15" hidden="false" customHeight="false" outlineLevel="0" collapsed="false">
      <c r="A269" s="5" t="s">
        <v>75</v>
      </c>
      <c r="B269" s="3" t="n">
        <v>8</v>
      </c>
      <c r="C269" s="5" t="s">
        <v>131</v>
      </c>
      <c r="D269" s="5" t="s">
        <v>105</v>
      </c>
      <c r="E269" s="3" t="s">
        <v>97</v>
      </c>
      <c r="F269" s="5" t="s">
        <v>83</v>
      </c>
      <c r="G269" s="3" t="s">
        <v>312</v>
      </c>
      <c r="H269" s="3" t="n">
        <v>0</v>
      </c>
      <c r="I269" s="3" t="n">
        <v>3</v>
      </c>
      <c r="J269" s="6" t="s">
        <v>5</v>
      </c>
      <c r="K269" s="5"/>
    </row>
    <row r="270" customFormat="false" ht="15" hidden="false" customHeight="false" outlineLevel="0" collapsed="false">
      <c r="A270" s="5" t="s">
        <v>75</v>
      </c>
      <c r="B270" s="3" t="n">
        <v>9</v>
      </c>
      <c r="C270" s="5" t="s">
        <v>116</v>
      </c>
      <c r="D270" s="5" t="s">
        <v>105</v>
      </c>
      <c r="E270" s="3" t="s">
        <v>97</v>
      </c>
      <c r="F270" s="5" t="s">
        <v>191</v>
      </c>
      <c r="G270" s="3" t="s">
        <v>168</v>
      </c>
      <c r="H270" s="3" t="n">
        <v>0</v>
      </c>
      <c r="I270" s="3" t="n">
        <v>1</v>
      </c>
      <c r="J270" s="6" t="s">
        <v>5</v>
      </c>
      <c r="K270" s="5"/>
    </row>
    <row r="271" customFormat="false" ht="15" hidden="false" customHeight="false" outlineLevel="0" collapsed="false">
      <c r="A271" s="5" t="s">
        <v>75</v>
      </c>
      <c r="B271" s="3" t="n">
        <v>10</v>
      </c>
      <c r="C271" s="5" t="s">
        <v>133</v>
      </c>
      <c r="D271" s="5" t="s">
        <v>105</v>
      </c>
      <c r="E271" s="3" t="s">
        <v>97</v>
      </c>
      <c r="F271" s="5" t="s">
        <v>45</v>
      </c>
      <c r="G271" s="3" t="s">
        <v>98</v>
      </c>
      <c r="H271" s="3" t="n">
        <v>1</v>
      </c>
      <c r="I271" s="3" t="n">
        <v>2</v>
      </c>
      <c r="J271" s="6" t="s">
        <v>5</v>
      </c>
      <c r="K271" s="5"/>
    </row>
    <row r="272" customFormat="false" ht="15" hidden="false" customHeight="false" outlineLevel="0" collapsed="false">
      <c r="A272" s="5" t="s">
        <v>77</v>
      </c>
      <c r="B272" s="3" t="n">
        <v>1</v>
      </c>
      <c r="C272" s="5" t="s">
        <v>138</v>
      </c>
      <c r="D272" s="5" t="s">
        <v>96</v>
      </c>
      <c r="E272" s="3" t="s">
        <v>97</v>
      </c>
      <c r="F272" s="5" t="s">
        <v>255</v>
      </c>
      <c r="G272" s="3" t="s">
        <v>155</v>
      </c>
      <c r="H272" s="3" t="n">
        <v>1</v>
      </c>
      <c r="I272" s="3" t="n">
        <v>1</v>
      </c>
      <c r="J272" s="8" t="s">
        <v>4</v>
      </c>
      <c r="K272" s="5"/>
    </row>
    <row r="273" customFormat="false" ht="15" hidden="false" customHeight="false" outlineLevel="0" collapsed="false">
      <c r="A273" s="5" t="s">
        <v>77</v>
      </c>
      <c r="B273" s="3" t="n">
        <v>2</v>
      </c>
      <c r="C273" s="5" t="s">
        <v>228</v>
      </c>
      <c r="D273" s="5" t="s">
        <v>96</v>
      </c>
      <c r="E273" s="3" t="s">
        <v>97</v>
      </c>
      <c r="F273" s="5" t="s">
        <v>254</v>
      </c>
      <c r="G273" s="3" t="s">
        <v>144</v>
      </c>
      <c r="H273" s="3" t="n">
        <v>3</v>
      </c>
      <c r="I273" s="3" t="n">
        <v>1</v>
      </c>
      <c r="J273" s="7" t="s">
        <v>3</v>
      </c>
      <c r="K273" s="5"/>
    </row>
    <row r="274" customFormat="false" ht="15" hidden="false" customHeight="false" outlineLevel="0" collapsed="false">
      <c r="A274" s="5" t="s">
        <v>77</v>
      </c>
      <c r="B274" s="3" t="n">
        <v>3</v>
      </c>
      <c r="C274" s="5" t="s">
        <v>230</v>
      </c>
      <c r="D274" s="5" t="s">
        <v>96</v>
      </c>
      <c r="E274" s="3" t="s">
        <v>97</v>
      </c>
      <c r="F274" s="5" t="s">
        <v>49</v>
      </c>
      <c r="G274" s="3" t="s">
        <v>155</v>
      </c>
      <c r="H274" s="3" t="n">
        <v>1</v>
      </c>
      <c r="I274" s="3" t="n">
        <v>1</v>
      </c>
      <c r="J274" s="8" t="s">
        <v>4</v>
      </c>
      <c r="K274" s="5"/>
    </row>
    <row r="275" customFormat="false" ht="15" hidden="false" customHeight="false" outlineLevel="0" collapsed="false">
      <c r="A275" s="5" t="s">
        <v>77</v>
      </c>
      <c r="B275" s="3" t="n">
        <v>4</v>
      </c>
      <c r="C275" s="5" t="s">
        <v>104</v>
      </c>
      <c r="D275" s="5" t="s">
        <v>105</v>
      </c>
      <c r="E275" s="3" t="s">
        <v>97</v>
      </c>
      <c r="F275" s="5" t="s">
        <v>54</v>
      </c>
      <c r="G275" s="3" t="s">
        <v>98</v>
      </c>
      <c r="H275" s="3" t="n">
        <v>1</v>
      </c>
      <c r="I275" s="3" t="n">
        <v>2</v>
      </c>
      <c r="J275" s="6" t="s">
        <v>5</v>
      </c>
      <c r="K275" s="5"/>
    </row>
    <row r="276" customFormat="false" ht="15" hidden="false" customHeight="false" outlineLevel="0" collapsed="false">
      <c r="A276" s="5" t="s">
        <v>77</v>
      </c>
      <c r="B276" s="3" t="n">
        <v>5</v>
      </c>
      <c r="C276" s="5" t="s">
        <v>313</v>
      </c>
      <c r="D276" s="5" t="s">
        <v>105</v>
      </c>
      <c r="E276" s="3" t="s">
        <v>40</v>
      </c>
      <c r="F276" s="5" t="s">
        <v>314</v>
      </c>
      <c r="G276" s="3" t="s">
        <v>121</v>
      </c>
      <c r="H276" s="3" t="n">
        <v>1</v>
      </c>
      <c r="I276" s="3" t="n">
        <v>0</v>
      </c>
      <c r="J276" s="7" t="s">
        <v>3</v>
      </c>
      <c r="K276" s="5"/>
    </row>
    <row r="277" customFormat="false" ht="15" hidden="false" customHeight="false" outlineLevel="0" collapsed="false">
      <c r="A277" s="5" t="s">
        <v>77</v>
      </c>
      <c r="B277" s="3" t="n">
        <v>6</v>
      </c>
      <c r="C277" s="5" t="s">
        <v>189</v>
      </c>
      <c r="D277" s="5" t="s">
        <v>315</v>
      </c>
      <c r="E277" s="3" t="s">
        <v>97</v>
      </c>
      <c r="F277" s="5" t="s">
        <v>207</v>
      </c>
      <c r="G277" s="3" t="s">
        <v>122</v>
      </c>
      <c r="H277" s="3" t="n">
        <v>0</v>
      </c>
      <c r="I277" s="3" t="n">
        <v>0</v>
      </c>
      <c r="J277" s="8" t="s">
        <v>4</v>
      </c>
      <c r="K277" s="5" t="s">
        <v>316</v>
      </c>
    </row>
    <row r="278" customFormat="false" ht="15" hidden="false" customHeight="false" outlineLevel="0" collapsed="false">
      <c r="A278" s="5" t="s">
        <v>77</v>
      </c>
      <c r="B278" s="3" t="n">
        <v>7</v>
      </c>
      <c r="C278" s="5" t="s">
        <v>205</v>
      </c>
      <c r="D278" s="5" t="s">
        <v>206</v>
      </c>
      <c r="E278" s="3" t="s">
        <v>97</v>
      </c>
      <c r="F278" s="5" t="s">
        <v>52</v>
      </c>
      <c r="G278" s="3" t="s">
        <v>168</v>
      </c>
      <c r="H278" s="3" t="n">
        <v>0</v>
      </c>
      <c r="I278" s="3" t="n">
        <v>1</v>
      </c>
      <c r="J278" s="6" t="s">
        <v>5</v>
      </c>
      <c r="K278" s="5"/>
    </row>
    <row r="279" customFormat="false" ht="15" hidden="false" customHeight="false" outlineLevel="0" collapsed="false">
      <c r="A279" s="5" t="s">
        <v>77</v>
      </c>
      <c r="B279" s="3" t="n">
        <v>8</v>
      </c>
      <c r="C279" s="5" t="s">
        <v>268</v>
      </c>
      <c r="D279" s="5" t="s">
        <v>210</v>
      </c>
      <c r="E279" s="3" t="s">
        <v>97</v>
      </c>
      <c r="F279" s="5" t="s">
        <v>59</v>
      </c>
      <c r="G279" s="3" t="s">
        <v>163</v>
      </c>
      <c r="H279" s="3" t="n">
        <v>3</v>
      </c>
      <c r="I279" s="3" t="n">
        <v>2</v>
      </c>
      <c r="J279" s="7" t="s">
        <v>3</v>
      </c>
      <c r="K279" s="5"/>
    </row>
    <row r="280" customFormat="false" ht="15" hidden="false" customHeight="false" outlineLevel="0" collapsed="false">
      <c r="A280" s="5" t="s">
        <v>77</v>
      </c>
      <c r="B280" s="3" t="n">
        <v>9</v>
      </c>
      <c r="C280" s="5" t="s">
        <v>317</v>
      </c>
      <c r="D280" s="5" t="s">
        <v>179</v>
      </c>
      <c r="E280" s="3" t="s">
        <v>97</v>
      </c>
      <c r="F280" s="5" t="s">
        <v>318</v>
      </c>
      <c r="G280" s="3" t="s">
        <v>144</v>
      </c>
      <c r="H280" s="3" t="n">
        <v>3</v>
      </c>
      <c r="I280" s="3" t="n">
        <v>1</v>
      </c>
      <c r="J280" s="7" t="s">
        <v>3</v>
      </c>
      <c r="K280" s="5" t="s">
        <v>295</v>
      </c>
    </row>
    <row r="281" customFormat="false" ht="15" hidden="false" customHeight="false" outlineLevel="0" collapsed="false">
      <c r="A281" s="5" t="s">
        <v>77</v>
      </c>
      <c r="B281" s="3" t="n">
        <v>10</v>
      </c>
      <c r="C281" s="5" t="s">
        <v>181</v>
      </c>
      <c r="D281" s="5" t="s">
        <v>182</v>
      </c>
      <c r="E281" s="3" t="s">
        <v>97</v>
      </c>
      <c r="F281" s="5" t="s">
        <v>304</v>
      </c>
      <c r="G281" s="3" t="s">
        <v>122</v>
      </c>
      <c r="H281" s="3" t="n">
        <v>0</v>
      </c>
      <c r="I281" s="3" t="n">
        <v>0</v>
      </c>
      <c r="J281" s="8" t="s">
        <v>4</v>
      </c>
      <c r="K281" s="5"/>
    </row>
    <row r="282" customFormat="false" ht="15" hidden="false" customHeight="false" outlineLevel="0" collapsed="false">
      <c r="A282" s="5" t="s">
        <v>79</v>
      </c>
      <c r="B282" s="3" t="n">
        <v>1</v>
      </c>
      <c r="C282" s="5" t="s">
        <v>170</v>
      </c>
      <c r="D282" s="5" t="s">
        <v>96</v>
      </c>
      <c r="E282" s="3" t="s">
        <v>97</v>
      </c>
      <c r="F282" s="5" t="s">
        <v>26</v>
      </c>
      <c r="G282" s="3" t="s">
        <v>100</v>
      </c>
      <c r="H282" s="3" t="n">
        <v>2</v>
      </c>
      <c r="I282" s="3" t="n">
        <v>1</v>
      </c>
      <c r="J282" s="7" t="s">
        <v>3</v>
      </c>
      <c r="K282" s="5"/>
    </row>
    <row r="283" customFormat="false" ht="15" hidden="false" customHeight="false" outlineLevel="0" collapsed="false">
      <c r="A283" s="5" t="s">
        <v>79</v>
      </c>
      <c r="B283" s="3" t="n">
        <v>2</v>
      </c>
      <c r="C283" s="5" t="s">
        <v>171</v>
      </c>
      <c r="D283" s="5" t="s">
        <v>96</v>
      </c>
      <c r="E283" s="3" t="s">
        <v>97</v>
      </c>
      <c r="F283" s="5" t="s">
        <v>47</v>
      </c>
      <c r="G283" s="3" t="s">
        <v>139</v>
      </c>
      <c r="H283" s="3" t="n">
        <v>4</v>
      </c>
      <c r="I283" s="3" t="n">
        <v>1</v>
      </c>
      <c r="J283" s="7" t="s">
        <v>3</v>
      </c>
      <c r="K283" s="5"/>
    </row>
    <row r="284" customFormat="false" ht="15" hidden="false" customHeight="false" outlineLevel="0" collapsed="false">
      <c r="A284" s="5" t="s">
        <v>79</v>
      </c>
      <c r="B284" s="3" t="n">
        <v>3</v>
      </c>
      <c r="C284" s="5" t="s">
        <v>198</v>
      </c>
      <c r="D284" s="5" t="s">
        <v>96</v>
      </c>
      <c r="E284" s="3" t="s">
        <v>97</v>
      </c>
      <c r="F284" s="5" t="s">
        <v>185</v>
      </c>
      <c r="G284" s="3" t="s">
        <v>155</v>
      </c>
      <c r="H284" s="3" t="n">
        <v>1</v>
      </c>
      <c r="I284" s="3" t="n">
        <v>1</v>
      </c>
      <c r="J284" s="8" t="s">
        <v>4</v>
      </c>
      <c r="K284" s="5"/>
    </row>
    <row r="285" customFormat="false" ht="15" hidden="false" customHeight="false" outlineLevel="0" collapsed="false">
      <c r="A285" s="5" t="s">
        <v>79</v>
      </c>
      <c r="B285" s="3" t="n">
        <v>4</v>
      </c>
      <c r="C285" s="5" t="s">
        <v>104</v>
      </c>
      <c r="D285" s="5" t="s">
        <v>105</v>
      </c>
      <c r="E285" s="3" t="s">
        <v>97</v>
      </c>
      <c r="F285" s="5" t="s">
        <v>75</v>
      </c>
      <c r="G285" s="3" t="s">
        <v>155</v>
      </c>
      <c r="H285" s="3" t="n">
        <v>1</v>
      </c>
      <c r="I285" s="3" t="n">
        <v>1</v>
      </c>
      <c r="J285" s="8" t="s">
        <v>4</v>
      </c>
      <c r="K285" s="5" t="s">
        <v>311</v>
      </c>
    </row>
    <row r="286" customFormat="false" ht="15" hidden="false" customHeight="false" outlineLevel="0" collapsed="false">
      <c r="A286" s="5" t="s">
        <v>79</v>
      </c>
      <c r="B286" s="3" t="n">
        <v>5</v>
      </c>
      <c r="C286" s="5" t="s">
        <v>106</v>
      </c>
      <c r="D286" s="5" t="s">
        <v>105</v>
      </c>
      <c r="E286" s="3" t="s">
        <v>40</v>
      </c>
      <c r="F286" s="5" t="s">
        <v>237</v>
      </c>
      <c r="G286" s="3" t="s">
        <v>139</v>
      </c>
      <c r="H286" s="3" t="n">
        <v>4</v>
      </c>
      <c r="I286" s="3" t="n">
        <v>1</v>
      </c>
      <c r="J286" s="7" t="s">
        <v>3</v>
      </c>
      <c r="K286" s="5"/>
    </row>
    <row r="287" customFormat="false" ht="15" hidden="false" customHeight="false" outlineLevel="0" collapsed="false">
      <c r="A287" s="5" t="s">
        <v>79</v>
      </c>
      <c r="B287" s="3" t="n">
        <v>6</v>
      </c>
      <c r="C287" s="5" t="s">
        <v>129</v>
      </c>
      <c r="D287" s="5" t="s">
        <v>105</v>
      </c>
      <c r="E287" s="3" t="s">
        <v>24</v>
      </c>
      <c r="F287" s="5" t="s">
        <v>61</v>
      </c>
      <c r="G287" s="3" t="s">
        <v>122</v>
      </c>
      <c r="H287" s="3" t="n">
        <v>0</v>
      </c>
      <c r="I287" s="3" t="n">
        <v>0</v>
      </c>
      <c r="J287" s="8" t="s">
        <v>4</v>
      </c>
      <c r="K287" s="5"/>
    </row>
    <row r="288" customFormat="false" ht="15" hidden="false" customHeight="false" outlineLevel="0" collapsed="false">
      <c r="A288" s="5" t="s">
        <v>79</v>
      </c>
      <c r="B288" s="3" t="n">
        <v>7</v>
      </c>
      <c r="C288" s="5" t="s">
        <v>110</v>
      </c>
      <c r="D288" s="5" t="s">
        <v>105</v>
      </c>
      <c r="E288" s="3" t="s">
        <v>40</v>
      </c>
      <c r="F288" s="5" t="s">
        <v>11</v>
      </c>
      <c r="G288" s="3" t="s">
        <v>319</v>
      </c>
      <c r="H288" s="3" t="n">
        <v>3</v>
      </c>
      <c r="I288" s="3" t="n">
        <v>4</v>
      </c>
      <c r="J288" s="6" t="s">
        <v>5</v>
      </c>
      <c r="K288" s="5"/>
    </row>
    <row r="289" customFormat="false" ht="15" hidden="false" customHeight="false" outlineLevel="0" collapsed="false">
      <c r="A289" s="5" t="s">
        <v>79</v>
      </c>
      <c r="B289" s="3" t="n">
        <v>8</v>
      </c>
      <c r="C289" s="5" t="s">
        <v>131</v>
      </c>
      <c r="D289" s="5" t="s">
        <v>113</v>
      </c>
      <c r="E289" s="3" t="s">
        <v>24</v>
      </c>
      <c r="F289" s="5" t="s">
        <v>167</v>
      </c>
      <c r="G289" s="3" t="s">
        <v>155</v>
      </c>
      <c r="H289" s="3" t="n">
        <v>1</v>
      </c>
      <c r="I289" s="3" t="n">
        <v>1</v>
      </c>
      <c r="J289" s="8" t="s">
        <v>4</v>
      </c>
      <c r="K289" s="5"/>
    </row>
    <row r="290" customFormat="false" ht="15" hidden="false" customHeight="false" outlineLevel="0" collapsed="false">
      <c r="A290" s="5" t="s">
        <v>79</v>
      </c>
      <c r="B290" s="3" t="n">
        <v>9</v>
      </c>
      <c r="C290" s="5" t="s">
        <v>132</v>
      </c>
      <c r="D290" s="5" t="s">
        <v>113</v>
      </c>
      <c r="E290" s="3" t="s">
        <v>40</v>
      </c>
      <c r="F290" s="5" t="s">
        <v>20</v>
      </c>
      <c r="G290" s="3" t="s">
        <v>139</v>
      </c>
      <c r="H290" s="3" t="n">
        <v>4</v>
      </c>
      <c r="I290" s="3" t="n">
        <v>1</v>
      </c>
      <c r="J290" s="7" t="s">
        <v>3</v>
      </c>
      <c r="K290" s="5"/>
    </row>
    <row r="291" customFormat="false" ht="15" hidden="false" customHeight="false" outlineLevel="0" collapsed="false">
      <c r="A291" s="5" t="s">
        <v>79</v>
      </c>
      <c r="B291" s="3" t="n">
        <v>10</v>
      </c>
      <c r="C291" s="5" t="s">
        <v>119</v>
      </c>
      <c r="D291" s="5" t="s">
        <v>113</v>
      </c>
      <c r="E291" s="3" t="s">
        <v>24</v>
      </c>
      <c r="F291" s="5" t="s">
        <v>166</v>
      </c>
      <c r="G291" s="3" t="s">
        <v>122</v>
      </c>
      <c r="H291" s="3" t="n">
        <v>0</v>
      </c>
      <c r="I291" s="3" t="n">
        <v>0</v>
      </c>
      <c r="J291" s="8" t="s">
        <v>4</v>
      </c>
      <c r="K291" s="5"/>
    </row>
    <row r="292" customFormat="false" ht="15" hidden="false" customHeight="false" outlineLevel="0" collapsed="false">
      <c r="A292" s="5" t="s">
        <v>81</v>
      </c>
      <c r="B292" s="3" t="n">
        <v>1</v>
      </c>
      <c r="C292" s="5" t="s">
        <v>211</v>
      </c>
      <c r="D292" s="5" t="s">
        <v>96</v>
      </c>
      <c r="E292" s="3" t="s">
        <v>97</v>
      </c>
      <c r="F292" s="5" t="s">
        <v>42</v>
      </c>
      <c r="G292" s="3" t="s">
        <v>236</v>
      </c>
      <c r="H292" s="3" t="n">
        <v>3</v>
      </c>
      <c r="I292" s="3" t="n">
        <v>3</v>
      </c>
      <c r="J292" s="8" t="s">
        <v>4</v>
      </c>
      <c r="K292" s="5"/>
    </row>
    <row r="293" customFormat="false" ht="15" hidden="false" customHeight="false" outlineLevel="0" collapsed="false">
      <c r="A293" s="5" t="s">
        <v>81</v>
      </c>
      <c r="B293" s="3" t="n">
        <v>2</v>
      </c>
      <c r="C293" s="5" t="s">
        <v>140</v>
      </c>
      <c r="D293" s="5" t="s">
        <v>96</v>
      </c>
      <c r="E293" s="3" t="s">
        <v>97</v>
      </c>
      <c r="F293" s="5" t="s">
        <v>237</v>
      </c>
      <c r="G293" s="3" t="s">
        <v>100</v>
      </c>
      <c r="H293" s="3" t="n">
        <v>2</v>
      </c>
      <c r="I293" s="3" t="n">
        <v>1</v>
      </c>
      <c r="J293" s="7" t="s">
        <v>3</v>
      </c>
      <c r="K293" s="5"/>
    </row>
    <row r="294" customFormat="false" ht="15" hidden="false" customHeight="false" outlineLevel="0" collapsed="false">
      <c r="A294" s="5" t="s">
        <v>81</v>
      </c>
      <c r="B294" s="3" t="n">
        <v>3</v>
      </c>
      <c r="C294" s="5" t="s">
        <v>143</v>
      </c>
      <c r="D294" s="5" t="s">
        <v>96</v>
      </c>
      <c r="E294" s="3" t="s">
        <v>97</v>
      </c>
      <c r="F294" s="5" t="s">
        <v>71</v>
      </c>
      <c r="G294" s="3" t="s">
        <v>312</v>
      </c>
      <c r="H294" s="3" t="n">
        <v>0</v>
      </c>
      <c r="I294" s="3" t="n">
        <v>3</v>
      </c>
      <c r="J294" s="6" t="s">
        <v>5</v>
      </c>
      <c r="K294" s="5"/>
    </row>
    <row r="295" customFormat="false" ht="15" hidden="false" customHeight="false" outlineLevel="0" collapsed="false">
      <c r="A295" s="5" t="s">
        <v>81</v>
      </c>
      <c r="B295" s="3" t="n">
        <v>4</v>
      </c>
      <c r="C295" s="5" t="s">
        <v>287</v>
      </c>
      <c r="D295" s="5" t="s">
        <v>105</v>
      </c>
      <c r="E295" s="3" t="s">
        <v>97</v>
      </c>
      <c r="F295" s="5" t="s">
        <v>267</v>
      </c>
      <c r="G295" s="3" t="s">
        <v>108</v>
      </c>
      <c r="H295" s="3" t="n">
        <v>4</v>
      </c>
      <c r="I295" s="3" t="n">
        <v>0</v>
      </c>
      <c r="J295" s="7" t="s">
        <v>3</v>
      </c>
      <c r="K295" s="5"/>
    </row>
    <row r="296" customFormat="false" ht="15" hidden="false" customHeight="false" outlineLevel="0" collapsed="false">
      <c r="A296" s="5" t="s">
        <v>81</v>
      </c>
      <c r="B296" s="3" t="n">
        <v>5</v>
      </c>
      <c r="C296" s="5" t="s">
        <v>192</v>
      </c>
      <c r="D296" s="5" t="s">
        <v>105</v>
      </c>
      <c r="E296" s="3" t="s">
        <v>24</v>
      </c>
      <c r="F296" s="5" t="s">
        <v>29</v>
      </c>
      <c r="G296" s="3" t="s">
        <v>121</v>
      </c>
      <c r="H296" s="3" t="n">
        <v>1</v>
      </c>
      <c r="I296" s="3" t="n">
        <v>0</v>
      </c>
      <c r="J296" s="7" t="s">
        <v>3</v>
      </c>
      <c r="K296" s="5"/>
    </row>
    <row r="297" customFormat="false" ht="15" hidden="false" customHeight="false" outlineLevel="0" collapsed="false">
      <c r="A297" s="5" t="s">
        <v>81</v>
      </c>
      <c r="B297" s="3" t="n">
        <v>6</v>
      </c>
      <c r="C297" s="5" t="s">
        <v>129</v>
      </c>
      <c r="D297" s="5" t="s">
        <v>105</v>
      </c>
      <c r="E297" s="3" t="s">
        <v>97</v>
      </c>
      <c r="F297" s="5" t="s">
        <v>227</v>
      </c>
      <c r="G297" s="3" t="s">
        <v>122</v>
      </c>
      <c r="H297" s="3" t="n">
        <v>0</v>
      </c>
      <c r="I297" s="3" t="n">
        <v>0</v>
      </c>
      <c r="J297" s="8" t="s">
        <v>4</v>
      </c>
      <c r="K297" s="5"/>
    </row>
    <row r="298" customFormat="false" ht="15" hidden="false" customHeight="false" outlineLevel="0" collapsed="false">
      <c r="A298" s="5" t="s">
        <v>81</v>
      </c>
      <c r="B298" s="3" t="n">
        <v>7</v>
      </c>
      <c r="C298" s="5" t="s">
        <v>110</v>
      </c>
      <c r="D298" s="5" t="s">
        <v>105</v>
      </c>
      <c r="E298" s="3" t="s">
        <v>97</v>
      </c>
      <c r="F298" s="5" t="s">
        <v>190</v>
      </c>
      <c r="G298" s="3" t="s">
        <v>259</v>
      </c>
      <c r="H298" s="3" t="n">
        <v>7</v>
      </c>
      <c r="I298" s="3" t="n">
        <v>0</v>
      </c>
      <c r="J298" s="7" t="s">
        <v>3</v>
      </c>
      <c r="K298" s="5"/>
    </row>
    <row r="299" customFormat="false" ht="15" hidden="false" customHeight="false" outlineLevel="0" collapsed="false">
      <c r="A299" s="5" t="s">
        <v>81</v>
      </c>
      <c r="B299" s="3" t="n">
        <v>8</v>
      </c>
      <c r="C299" s="5" t="s">
        <v>268</v>
      </c>
      <c r="D299" s="5" t="s">
        <v>210</v>
      </c>
      <c r="E299" s="3" t="s">
        <v>97</v>
      </c>
      <c r="F299" s="5" t="s">
        <v>207</v>
      </c>
      <c r="G299" s="3" t="s">
        <v>135</v>
      </c>
      <c r="H299" s="3" t="n">
        <v>0</v>
      </c>
      <c r="I299" s="3" t="n">
        <v>2</v>
      </c>
      <c r="J299" s="6" t="s">
        <v>5</v>
      </c>
      <c r="K299" s="5"/>
    </row>
    <row r="300" customFormat="false" ht="15" hidden="false" customHeight="false" outlineLevel="0" collapsed="false">
      <c r="A300" s="5" t="s">
        <v>81</v>
      </c>
      <c r="B300" s="3" t="n">
        <v>9</v>
      </c>
      <c r="C300" s="5" t="s">
        <v>269</v>
      </c>
      <c r="D300" s="5" t="s">
        <v>179</v>
      </c>
      <c r="E300" s="3" t="s">
        <v>97</v>
      </c>
      <c r="F300" s="5" t="s">
        <v>69</v>
      </c>
      <c r="G300" s="3" t="s">
        <v>121</v>
      </c>
      <c r="H300" s="3" t="n">
        <v>1</v>
      </c>
      <c r="I300" s="3" t="n">
        <v>0</v>
      </c>
      <c r="J300" s="7" t="s">
        <v>3</v>
      </c>
      <c r="K300" s="5" t="s">
        <v>295</v>
      </c>
    </row>
    <row r="301" customFormat="false" ht="15" hidden="false" customHeight="false" outlineLevel="0" collapsed="false">
      <c r="A301" s="5" t="s">
        <v>81</v>
      </c>
      <c r="B301" s="3" t="n">
        <v>10</v>
      </c>
      <c r="C301" s="5" t="s">
        <v>271</v>
      </c>
      <c r="D301" s="5" t="s">
        <v>182</v>
      </c>
      <c r="E301" s="3" t="s">
        <v>97</v>
      </c>
      <c r="F301" s="5" t="s">
        <v>320</v>
      </c>
      <c r="G301" s="3" t="s">
        <v>144</v>
      </c>
      <c r="H301" s="3" t="n">
        <v>3</v>
      </c>
      <c r="I301" s="3" t="n">
        <v>1</v>
      </c>
      <c r="J301" s="7" t="s">
        <v>3</v>
      </c>
      <c r="K301" s="5"/>
    </row>
    <row r="302" customFormat="false" ht="15" hidden="false" customHeight="false" outlineLevel="0" collapsed="false">
      <c r="A302" s="5" t="s">
        <v>83</v>
      </c>
      <c r="B302" s="3" t="n">
        <v>1</v>
      </c>
      <c r="C302" s="5" t="s">
        <v>211</v>
      </c>
      <c r="D302" s="5" t="s">
        <v>96</v>
      </c>
      <c r="E302" s="3" t="s">
        <v>97</v>
      </c>
      <c r="F302" s="5" t="s">
        <v>34</v>
      </c>
      <c r="G302" s="3" t="s">
        <v>122</v>
      </c>
      <c r="H302" s="3" t="n">
        <v>0</v>
      </c>
      <c r="I302" s="3" t="n">
        <v>0</v>
      </c>
      <c r="J302" s="8" t="s">
        <v>4</v>
      </c>
      <c r="K302" s="5"/>
    </row>
    <row r="303" customFormat="false" ht="15" hidden="false" customHeight="false" outlineLevel="0" collapsed="false">
      <c r="A303" s="5" t="s">
        <v>83</v>
      </c>
      <c r="B303" s="3" t="n">
        <v>2</v>
      </c>
      <c r="C303" s="5" t="s">
        <v>212</v>
      </c>
      <c r="D303" s="5" t="s">
        <v>96</v>
      </c>
      <c r="E303" s="3" t="s">
        <v>97</v>
      </c>
      <c r="F303" s="5" t="s">
        <v>69</v>
      </c>
      <c r="G303" s="3" t="s">
        <v>121</v>
      </c>
      <c r="H303" s="3" t="n">
        <v>1</v>
      </c>
      <c r="I303" s="3" t="n">
        <v>0</v>
      </c>
      <c r="J303" s="7" t="s">
        <v>3</v>
      </c>
      <c r="K303" s="5"/>
    </row>
    <row r="304" customFormat="false" ht="15" hidden="false" customHeight="false" outlineLevel="0" collapsed="false">
      <c r="A304" s="5" t="s">
        <v>83</v>
      </c>
      <c r="B304" s="3" t="n">
        <v>3</v>
      </c>
      <c r="C304" s="5" t="s">
        <v>214</v>
      </c>
      <c r="D304" s="5" t="s">
        <v>96</v>
      </c>
      <c r="E304" s="3" t="s">
        <v>97</v>
      </c>
      <c r="F304" s="5" t="s">
        <v>187</v>
      </c>
      <c r="G304" s="3" t="s">
        <v>144</v>
      </c>
      <c r="H304" s="3" t="n">
        <v>3</v>
      </c>
      <c r="I304" s="3" t="n">
        <v>1</v>
      </c>
      <c r="J304" s="7" t="s">
        <v>3</v>
      </c>
      <c r="K304" s="5"/>
    </row>
    <row r="305" customFormat="false" ht="15" hidden="false" customHeight="false" outlineLevel="0" collapsed="false">
      <c r="A305" s="5" t="s">
        <v>83</v>
      </c>
      <c r="B305" s="3" t="n">
        <v>4</v>
      </c>
      <c r="C305" s="5" t="s">
        <v>199</v>
      </c>
      <c r="D305" s="5" t="s">
        <v>105</v>
      </c>
      <c r="E305" s="3" t="s">
        <v>97</v>
      </c>
      <c r="F305" s="5" t="s">
        <v>237</v>
      </c>
      <c r="G305" s="3" t="s">
        <v>118</v>
      </c>
      <c r="H305" s="3" t="n">
        <v>2</v>
      </c>
      <c r="I305" s="3" t="n">
        <v>0</v>
      </c>
      <c r="J305" s="7" t="s">
        <v>3</v>
      </c>
      <c r="K305" s="5"/>
    </row>
    <row r="306" customFormat="false" ht="15" hidden="false" customHeight="false" outlineLevel="0" collapsed="false">
      <c r="A306" s="5" t="s">
        <v>83</v>
      </c>
      <c r="B306" s="3" t="n">
        <v>5</v>
      </c>
      <c r="C306" s="5" t="s">
        <v>159</v>
      </c>
      <c r="D306" s="5" t="s">
        <v>105</v>
      </c>
      <c r="E306" s="3" t="s">
        <v>40</v>
      </c>
      <c r="F306" s="5" t="s">
        <v>288</v>
      </c>
      <c r="G306" s="3" t="s">
        <v>144</v>
      </c>
      <c r="H306" s="3" t="n">
        <v>3</v>
      </c>
      <c r="I306" s="3" t="n">
        <v>1</v>
      </c>
      <c r="J306" s="7" t="s">
        <v>3</v>
      </c>
      <c r="K306" s="5"/>
    </row>
    <row r="307" customFormat="false" ht="15" hidden="false" customHeight="false" outlineLevel="0" collapsed="false">
      <c r="A307" s="5" t="s">
        <v>83</v>
      </c>
      <c r="B307" s="3" t="n">
        <v>6</v>
      </c>
      <c r="C307" s="5" t="s">
        <v>147</v>
      </c>
      <c r="D307" s="5" t="s">
        <v>105</v>
      </c>
      <c r="E307" s="3" t="s">
        <v>97</v>
      </c>
      <c r="F307" s="5" t="s">
        <v>17</v>
      </c>
      <c r="G307" s="3" t="s">
        <v>160</v>
      </c>
      <c r="H307" s="3" t="n">
        <v>1</v>
      </c>
      <c r="I307" s="3" t="n">
        <v>3</v>
      </c>
      <c r="J307" s="6" t="s">
        <v>5</v>
      </c>
      <c r="K307" s="5"/>
    </row>
    <row r="308" customFormat="false" ht="15" hidden="false" customHeight="false" outlineLevel="0" collapsed="false">
      <c r="A308" s="5" t="s">
        <v>83</v>
      </c>
      <c r="B308" s="3" t="n">
        <v>7</v>
      </c>
      <c r="C308" s="5" t="s">
        <v>148</v>
      </c>
      <c r="D308" s="5" t="s">
        <v>105</v>
      </c>
      <c r="E308" s="3" t="s">
        <v>97</v>
      </c>
      <c r="F308" s="5" t="s">
        <v>37</v>
      </c>
      <c r="G308" s="3" t="s">
        <v>98</v>
      </c>
      <c r="H308" s="3" t="n">
        <v>1</v>
      </c>
      <c r="I308" s="3" t="n">
        <v>2</v>
      </c>
      <c r="J308" s="6" t="s">
        <v>5</v>
      </c>
      <c r="K308" s="5"/>
    </row>
    <row r="309" customFormat="false" ht="15" hidden="false" customHeight="false" outlineLevel="0" collapsed="false">
      <c r="A309" s="5" t="s">
        <v>83</v>
      </c>
      <c r="B309" s="3" t="n">
        <v>8</v>
      </c>
      <c r="C309" s="5" t="s">
        <v>131</v>
      </c>
      <c r="D309" s="5" t="s">
        <v>105</v>
      </c>
      <c r="E309" s="3" t="s">
        <v>97</v>
      </c>
      <c r="F309" s="5" t="s">
        <v>75</v>
      </c>
      <c r="G309" s="3" t="s">
        <v>142</v>
      </c>
      <c r="H309" s="3" t="n">
        <v>3</v>
      </c>
      <c r="I309" s="3" t="n">
        <v>0</v>
      </c>
      <c r="J309" s="7" t="s">
        <v>3</v>
      </c>
      <c r="K309" s="5"/>
    </row>
    <row r="310" customFormat="false" ht="15" hidden="false" customHeight="false" outlineLevel="0" collapsed="false">
      <c r="A310" s="5" t="s">
        <v>83</v>
      </c>
      <c r="B310" s="3" t="n">
        <v>9</v>
      </c>
      <c r="C310" s="5" t="s">
        <v>132</v>
      </c>
      <c r="D310" s="5" t="s">
        <v>105</v>
      </c>
      <c r="E310" s="3" t="s">
        <v>97</v>
      </c>
      <c r="F310" s="5" t="s">
        <v>254</v>
      </c>
      <c r="G310" s="3" t="s">
        <v>100</v>
      </c>
      <c r="H310" s="3" t="n">
        <v>2</v>
      </c>
      <c r="I310" s="3" t="n">
        <v>1</v>
      </c>
      <c r="J310" s="7" t="s">
        <v>3</v>
      </c>
      <c r="K310" s="5"/>
    </row>
    <row r="311" customFormat="false" ht="15" hidden="false" customHeight="false" outlineLevel="0" collapsed="false">
      <c r="A311" s="5" t="s">
        <v>83</v>
      </c>
      <c r="B311" s="3" t="n">
        <v>10</v>
      </c>
      <c r="C311" s="5" t="s">
        <v>133</v>
      </c>
      <c r="D311" s="5" t="s">
        <v>105</v>
      </c>
      <c r="E311" s="3" t="s">
        <v>97</v>
      </c>
      <c r="F311" s="5" t="s">
        <v>26</v>
      </c>
      <c r="G311" s="3" t="s">
        <v>122</v>
      </c>
      <c r="H311" s="3" t="n">
        <v>0</v>
      </c>
      <c r="I311" s="3" t="n">
        <v>0</v>
      </c>
      <c r="J311" s="8" t="s">
        <v>4</v>
      </c>
      <c r="K311" s="5"/>
    </row>
    <row r="312" customFormat="false" ht="15" hidden="false" customHeight="false" outlineLevel="0" collapsed="false">
      <c r="A312" s="5" t="s">
        <v>85</v>
      </c>
      <c r="B312" s="3" t="n">
        <v>1</v>
      </c>
      <c r="C312" s="5" t="s">
        <v>211</v>
      </c>
      <c r="D312" s="5" t="s">
        <v>96</v>
      </c>
      <c r="E312" s="3" t="s">
        <v>97</v>
      </c>
      <c r="F312" s="5" t="s">
        <v>37</v>
      </c>
      <c r="G312" s="3" t="s">
        <v>98</v>
      </c>
      <c r="H312" s="3" t="n">
        <v>1</v>
      </c>
      <c r="I312" s="3" t="n">
        <v>2</v>
      </c>
      <c r="J312" s="6" t="s">
        <v>5</v>
      </c>
      <c r="K312" s="5"/>
    </row>
    <row r="313" customFormat="false" ht="15" hidden="false" customHeight="false" outlineLevel="0" collapsed="false">
      <c r="A313" s="5" t="s">
        <v>85</v>
      </c>
      <c r="B313" s="3" t="n">
        <v>2</v>
      </c>
      <c r="C313" s="5" t="s">
        <v>212</v>
      </c>
      <c r="D313" s="5" t="s">
        <v>96</v>
      </c>
      <c r="E313" s="3" t="s">
        <v>97</v>
      </c>
      <c r="F313" s="5" t="s">
        <v>67</v>
      </c>
      <c r="G313" s="3" t="s">
        <v>122</v>
      </c>
      <c r="H313" s="3" t="n">
        <v>0</v>
      </c>
      <c r="I313" s="3" t="n">
        <v>0</v>
      </c>
      <c r="J313" s="8" t="s">
        <v>4</v>
      </c>
      <c r="K313" s="5"/>
    </row>
    <row r="314" customFormat="false" ht="15" hidden="false" customHeight="false" outlineLevel="0" collapsed="false">
      <c r="A314" s="5" t="s">
        <v>85</v>
      </c>
      <c r="B314" s="3" t="n">
        <v>3</v>
      </c>
      <c r="C314" s="5" t="s">
        <v>214</v>
      </c>
      <c r="D314" s="5" t="s">
        <v>96</v>
      </c>
      <c r="E314" s="3" t="s">
        <v>97</v>
      </c>
      <c r="F314" s="5" t="s">
        <v>177</v>
      </c>
      <c r="G314" s="3" t="s">
        <v>121</v>
      </c>
      <c r="H314" s="3" t="n">
        <v>1</v>
      </c>
      <c r="I314" s="3" t="n">
        <v>0</v>
      </c>
      <c r="J314" s="7" t="s">
        <v>3</v>
      </c>
      <c r="K314" s="5"/>
    </row>
    <row r="315" customFormat="false" ht="15" hidden="false" customHeight="false" outlineLevel="0" collapsed="false">
      <c r="A315" s="5" t="s">
        <v>85</v>
      </c>
      <c r="B315" s="3" t="n">
        <v>4</v>
      </c>
      <c r="C315" s="5" t="s">
        <v>200</v>
      </c>
      <c r="D315" s="5" t="s">
        <v>105</v>
      </c>
      <c r="E315" s="3" t="s">
        <v>24</v>
      </c>
      <c r="F315" s="5" t="s">
        <v>251</v>
      </c>
      <c r="G315" s="3" t="s">
        <v>155</v>
      </c>
      <c r="H315" s="3" t="n">
        <v>1</v>
      </c>
      <c r="I315" s="3" t="n">
        <v>1</v>
      </c>
      <c r="J315" s="8" t="s">
        <v>4</v>
      </c>
      <c r="K315" s="5"/>
    </row>
    <row r="316" customFormat="false" ht="15" hidden="false" customHeight="false" outlineLevel="0" collapsed="false">
      <c r="A316" s="5" t="s">
        <v>85</v>
      </c>
      <c r="B316" s="3" t="n">
        <v>5</v>
      </c>
      <c r="C316" s="5" t="s">
        <v>321</v>
      </c>
      <c r="D316" s="5" t="s">
        <v>105</v>
      </c>
      <c r="E316" s="3" t="s">
        <v>24</v>
      </c>
      <c r="F316" s="5" t="s">
        <v>63</v>
      </c>
      <c r="G316" s="3" t="s">
        <v>135</v>
      </c>
      <c r="H316" s="3" t="n">
        <v>0</v>
      </c>
      <c r="I316" s="3" t="n">
        <v>2</v>
      </c>
      <c r="J316" s="6" t="s">
        <v>5</v>
      </c>
      <c r="K316" s="5"/>
    </row>
    <row r="317" customFormat="false" ht="15" hidden="false" customHeight="false" outlineLevel="0" collapsed="false">
      <c r="A317" s="5" t="s">
        <v>85</v>
      </c>
      <c r="B317" s="3" t="n">
        <v>6</v>
      </c>
      <c r="C317" s="5" t="s">
        <v>109</v>
      </c>
      <c r="D317" s="5" t="s">
        <v>105</v>
      </c>
      <c r="E317" s="3" t="s">
        <v>24</v>
      </c>
      <c r="F317" s="5" t="s">
        <v>11</v>
      </c>
      <c r="G317" s="3" t="s">
        <v>98</v>
      </c>
      <c r="H317" s="3" t="n">
        <v>1</v>
      </c>
      <c r="I317" s="3" t="n">
        <v>2</v>
      </c>
      <c r="J317" s="6" t="s">
        <v>5</v>
      </c>
      <c r="K317" s="5" t="s">
        <v>322</v>
      </c>
    </row>
    <row r="318" customFormat="false" ht="15" hidden="false" customHeight="false" outlineLevel="0" collapsed="false">
      <c r="A318" s="5" t="s">
        <v>85</v>
      </c>
      <c r="B318" s="3" t="n">
        <v>7</v>
      </c>
      <c r="C318" s="5" t="s">
        <v>110</v>
      </c>
      <c r="D318" s="5" t="s">
        <v>105</v>
      </c>
      <c r="E318" s="3" t="s">
        <v>24</v>
      </c>
      <c r="F318" s="5" t="s">
        <v>42</v>
      </c>
      <c r="G318" s="3" t="s">
        <v>156</v>
      </c>
      <c r="H318" s="3" t="n">
        <v>1</v>
      </c>
      <c r="I318" s="3" t="n">
        <v>5</v>
      </c>
      <c r="J318" s="6" t="s">
        <v>5</v>
      </c>
      <c r="K318" s="5" t="s">
        <v>322</v>
      </c>
    </row>
    <row r="319" customFormat="false" ht="15" hidden="false" customHeight="false" outlineLevel="0" collapsed="false">
      <c r="A319" s="5" t="s">
        <v>85</v>
      </c>
      <c r="B319" s="3" t="n">
        <v>8</v>
      </c>
      <c r="C319" s="5" t="s">
        <v>194</v>
      </c>
      <c r="D319" s="5" t="s">
        <v>308</v>
      </c>
      <c r="E319" s="3" t="s">
        <v>40</v>
      </c>
      <c r="F319" s="5" t="s">
        <v>323</v>
      </c>
      <c r="G319" s="3" t="s">
        <v>121</v>
      </c>
      <c r="H319" s="3" t="n">
        <v>1</v>
      </c>
      <c r="I319" s="3" t="n">
        <v>0</v>
      </c>
      <c r="J319" s="7" t="s">
        <v>3</v>
      </c>
      <c r="K319" s="5" t="s">
        <v>324</v>
      </c>
    </row>
    <row r="320" customFormat="false" ht="15" hidden="false" customHeight="false" outlineLevel="0" collapsed="false">
      <c r="A320" s="5" t="s">
        <v>85</v>
      </c>
      <c r="B320" s="3" t="n">
        <v>9</v>
      </c>
      <c r="C320" s="5" t="s">
        <v>325</v>
      </c>
      <c r="D320" s="5" t="s">
        <v>308</v>
      </c>
      <c r="E320" s="3" t="s">
        <v>24</v>
      </c>
      <c r="F320" s="5" t="s">
        <v>326</v>
      </c>
      <c r="G320" s="3" t="s">
        <v>213</v>
      </c>
      <c r="H320" s="3" t="n">
        <v>5</v>
      </c>
      <c r="I320" s="3" t="n">
        <v>0</v>
      </c>
      <c r="J320" s="7" t="s">
        <v>3</v>
      </c>
      <c r="K320" s="5"/>
    </row>
    <row r="321" customFormat="false" ht="15" hidden="false" customHeight="false" outlineLevel="0" collapsed="false">
      <c r="A321" s="5" t="s">
        <v>85</v>
      </c>
      <c r="B321" s="3" t="n">
        <v>10</v>
      </c>
      <c r="C321" s="5" t="s">
        <v>327</v>
      </c>
      <c r="D321" s="5" t="s">
        <v>308</v>
      </c>
      <c r="E321" s="3" t="s">
        <v>40</v>
      </c>
      <c r="F321" s="5" t="s">
        <v>265</v>
      </c>
      <c r="G321" s="3" t="s">
        <v>121</v>
      </c>
      <c r="H321" s="3" t="n">
        <v>1</v>
      </c>
      <c r="I321" s="3" t="n">
        <v>0</v>
      </c>
      <c r="J321" s="7" t="s">
        <v>3</v>
      </c>
      <c r="K321" s="5"/>
    </row>
  </sheetData>
  <autoFilter ref="A1:K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9" t="s">
        <v>328</v>
      </c>
    </row>
    <row r="2" customFormat="false" ht="15" hidden="false" customHeight="false" outlineLevel="0" collapsed="false">
      <c r="A2" s="10" t="s">
        <v>329</v>
      </c>
    </row>
    <row r="3" customFormat="false" ht="15" hidden="false" customHeight="false" outlineLevel="0" collapsed="false">
      <c r="A3" s="10"/>
    </row>
    <row r="4" customFormat="false" ht="26.85" hidden="false" customHeight="false" outlineLevel="0" collapsed="false">
      <c r="A4" s="11" t="s">
        <v>330</v>
      </c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11" t="s">
        <v>331</v>
      </c>
    </row>
    <row r="7" customFormat="false" ht="15" hidden="false" customHeight="false" outlineLevel="0" collapsed="false">
      <c r="A7" s="10" t="s">
        <v>332</v>
      </c>
    </row>
    <row r="8" customFormat="false" ht="15" hidden="false" customHeight="false" outlineLevel="0" collapsed="false">
      <c r="A8" s="10" t="s">
        <v>333</v>
      </c>
    </row>
    <row r="9" customFormat="false" ht="15" hidden="false" customHeight="false" outlineLevel="0" collapsed="false">
      <c r="A9" s="10" t="s">
        <v>334</v>
      </c>
    </row>
    <row r="10" customFormat="false" ht="15" hidden="false" customHeight="false" outlineLevel="0" collapsed="false">
      <c r="A10" s="10" t="s">
        <v>335</v>
      </c>
    </row>
    <row r="11" customFormat="false" ht="15" hidden="false" customHeight="false" outlineLevel="0" collapsed="false">
      <c r="A11" s="10" t="s">
        <v>336</v>
      </c>
    </row>
    <row r="12" customFormat="false" ht="15" hidden="false" customHeight="false" outlineLevel="0" collapsed="false">
      <c r="A12" s="10" t="s">
        <v>337</v>
      </c>
    </row>
    <row r="13" customFormat="false" ht="15" hidden="false" customHeight="false" outlineLevel="0" collapsed="false">
      <c r="A13" s="10" t="s">
        <v>338</v>
      </c>
    </row>
    <row r="14" customFormat="false" ht="15" hidden="false" customHeight="false" outlineLevel="0" collapsed="false">
      <c r="A14" s="10" t="s">
        <v>339</v>
      </c>
    </row>
    <row r="15" customFormat="false" ht="15" hidden="false" customHeight="false" outlineLevel="0" collapsed="false">
      <c r="A15" s="10" t="s">
        <v>340</v>
      </c>
    </row>
    <row r="16" customFormat="false" ht="26.85" hidden="false" customHeight="false" outlineLevel="0" collapsed="false">
      <c r="A16" s="10" t="s">
        <v>341</v>
      </c>
    </row>
    <row r="17" customFormat="false" ht="15" hidden="false" customHeight="false" outlineLevel="0" collapsed="false">
      <c r="A17" s="10" t="s">
        <v>342</v>
      </c>
    </row>
    <row r="18" customFormat="false" ht="26.85" hidden="false" customHeight="false" outlineLevel="0" collapsed="false">
      <c r="A18" s="10" t="s">
        <v>343</v>
      </c>
    </row>
    <row r="19" customFormat="false" ht="26.85" hidden="false" customHeight="false" outlineLevel="0" collapsed="false">
      <c r="A19" s="10" t="s">
        <v>344</v>
      </c>
    </row>
    <row r="20" customFormat="false" ht="15" hidden="false" customHeight="false" outlineLevel="0" collapsed="false">
      <c r="A20" s="10"/>
    </row>
    <row r="21" customFormat="false" ht="15" hidden="false" customHeight="false" outlineLevel="0" collapsed="false">
      <c r="A21" s="11" t="s">
        <v>345</v>
      </c>
    </row>
    <row r="22" customFormat="false" ht="26.85" hidden="false" customHeight="false" outlineLevel="0" collapsed="false">
      <c r="A22" s="10" t="s">
        <v>346</v>
      </c>
    </row>
    <row r="23" customFormat="false" ht="26.85" hidden="false" customHeight="false" outlineLevel="0" collapsed="false">
      <c r="A23" s="10" t="s">
        <v>347</v>
      </c>
    </row>
    <row r="24" customFormat="false" ht="15" hidden="false" customHeight="false" outlineLevel="0" collapsed="false">
      <c r="A24" s="10"/>
    </row>
    <row r="25" customFormat="false" ht="15" hidden="false" customHeight="false" outlineLevel="0" collapsed="false">
      <c r="A25" s="11" t="s">
        <v>348</v>
      </c>
    </row>
    <row r="26" customFormat="false" ht="26.85" hidden="false" customHeight="false" outlineLevel="0" collapsed="false">
      <c r="A26" s="10" t="s">
        <v>349</v>
      </c>
    </row>
    <row r="27" customFormat="false" ht="26.85" hidden="false" customHeight="false" outlineLevel="0" collapsed="false">
      <c r="A27" s="10" t="s">
        <v>350</v>
      </c>
    </row>
    <row r="28" customFormat="false" ht="26.85" hidden="false" customHeight="false" outlineLevel="0" collapsed="false">
      <c r="A28" s="10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2026-06-28T20:33:12Z</dcterms:created>
  <dc:creator>openpyxl</dc:creator>
  <dc:description/>
  <dc:language>en-US</dc:language>
  <cp:lastModifiedBy/>
  <dcterms:modified xsi:type="dcterms:W3CDTF">2026-06-28T20:33:12Z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